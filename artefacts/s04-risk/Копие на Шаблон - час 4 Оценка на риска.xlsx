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и" sheetId="1" r:id="rId4"/>
    <sheet state="visible" name="Скали" sheetId="2" r:id="rId5"/>
    <sheet state="visible" name="Регистър на активите" sheetId="3" r:id="rId6"/>
    <sheet state="visible" name="Регистър на риска" sheetId="4" r:id="rId7"/>
    <sheet state="visible" name="План за третиране" sheetId="5" r:id="rId8"/>
  </sheets>
  <definedNames/>
  <calcPr/>
  <extLst>
    <ext uri="GoogleSheetsCustomDataVersion2">
      <go:sheetsCustomData xmlns:go="http://customooxmlschemas.google.com/" r:id="rId9" roundtripDataChecksum="Mh4yfoqt1vRODdn4FlWzqhYOqpueMeTCwasahFjh6d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ID#AAACInOrDic
pkirkov    (2026-10-13 07:10:35)
Probability / Вероятност</t>
      </text>
    </comment>
    <comment authorId="0" ref="H1">
      <text>
        <t xml:space="preserve">======
ID#AAACInOrDig
pkirkov    (2026-10-13 07:10:35)
Impact / Въздействие</t>
      </text>
    </comment>
  </commentList>
  <extLst>
    <ext uri="GoogleSheetsCustomDataVersion2">
      <go:sheetsCustomData xmlns:go="http://customooxmlschemas.google.com/" r:id="rId1" roundtripDataSignature="AMtx7micKxXX2CDrHqR69FWLt14RNjCpmg=="/>
    </ext>
  </extLst>
</comments>
</file>

<file path=xl/sharedStrings.xml><?xml version="1.0" encoding="utf-8"?>
<sst xmlns="http://schemas.openxmlformats.org/spreadsheetml/2006/main" count="469" uniqueCount="314">
  <si>
    <t>РИСК АПЕТИТ (число, по подразбиране 9 — сменя се с обосновка):</t>
  </si>
  <si>
    <t>A-ID</t>
  </si>
  <si>
    <t>МИС — инструмент за риска (инвентаризация, оценка на риска, план за третиране)</t>
  </si>
  <si>
    <t>R-ID</t>
  </si>
  <si>
    <t>Наименование</t>
  </si>
  <si>
    <t>Тип</t>
  </si>
  <si>
    <t>Собственик (длъжност)</t>
  </si>
  <si>
    <t>Оператор</t>
  </si>
  <si>
    <t>Заплаха ( MITTRE ATT&amp;CK техника)</t>
  </si>
  <si>
    <t>Всичко с риск НАД тази стойност е неприемливо и влиза в План за третиране.</t>
  </si>
  <si>
    <t>Класификация</t>
  </si>
  <si>
    <t>Уязвимост</t>
  </si>
  <si>
    <t>Локация</t>
  </si>
  <si>
    <t>Сценарий (изречение)</t>
  </si>
  <si>
    <t>Зависимости</t>
  </si>
  <si>
    <t>Забележка</t>
  </si>
  <si>
    <t>Ред на попълване: 1) Регистър на активите → 2) Регистър на риска → 3) План за третиране.</t>
  </si>
  <si>
    <t>СКАЛА ЗА ВЕРОЯТНОСТ (1–5, по честота)</t>
  </si>
  <si>
    <t>Съществуващи контроли</t>
  </si>
  <si>
    <t>A-01</t>
  </si>
  <si>
    <t>Цветове:</t>
  </si>
  <si>
    <t>P</t>
  </si>
  <si>
    <t>1 Много ниска</t>
  </si>
  <si>
    <t xml:space="preserve">   • Жълтите клетки ги попълваш ти.</t>
  </si>
  <si>
    <t>I</t>
  </si>
  <si>
    <t>по-рядко от веднъж на 10 години, теоретично</t>
  </si>
  <si>
    <t xml:space="preserve">   • Сивите се изчисляват автоматично — НЕ ги пипай (Риск, Ниво, Приемлив, Остатъчен риск, Първонач. риск в плана).</t>
  </si>
  <si>
    <t xml:space="preserve">MQTT брокер (Mosquitto, 8883/MQTTS)
</t>
  </si>
  <si>
    <t>Риск</t>
  </si>
  <si>
    <t xml:space="preserve">   • Редовете  с „◄ ПРИМЕР“  в "Забележка" са образци — изтрий целите редове, преди да качиш в git</t>
  </si>
  <si>
    <t>2 Ниска</t>
  </si>
  <si>
    <t>веднъж на няколко години в сектора</t>
  </si>
  <si>
    <t>Ниво</t>
  </si>
  <si>
    <t>Правила, които се проверяват:</t>
  </si>
  <si>
    <t>3 Средна</t>
  </si>
  <si>
    <t>веднъж на няколко години в подобна организация</t>
  </si>
  <si>
    <t>4 Висока</t>
  </si>
  <si>
    <t>очаква се при текущата защита, поне веднъж годишно</t>
  </si>
  <si>
    <t xml:space="preserve">   • Собственикът на актив е ДЛЪЖНОСТ, не име на човек.</t>
  </si>
  <si>
    <t>Приемлив</t>
  </si>
  <si>
    <t>5 Много висока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</si>
  <si>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</si>
  <si>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>вече се случва или опити постоянно</t>
  </si>
  <si>
    <t>услуга</t>
  </si>
  <si>
    <t>Третиране</t>
  </si>
  <si>
    <t>Ръководител ИТ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</si>
  <si>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</si>
  <si>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>Системен администратор</t>
  </si>
  <si>
    <t>СКАЛА ЗА ВЪЗДЕЙСТВИЕ (1–5) — взима се НАЙ-ВИСОКОТО от 4-те измерения</t>
  </si>
  <si>
    <t>Отговорник (длъжност)</t>
  </si>
  <si>
    <t xml:space="preserve">   • Всеки риск сочи конкретен A-ID и има едновременно заплаха И уязвимост. „Хакерска атака“ не е риск.</t>
  </si>
  <si>
    <t>поверителна</t>
  </si>
  <si>
    <t xml:space="preserve">Ямбол HQ, LAN-HQ 10.240.0.10
</t>
  </si>
  <si>
    <t xml:space="preserve">   • Стойностите трябва да имат дистрибуция — ако всичко е 5 или всичко е 1, не е оценявано.</t>
  </si>
  <si>
    <t>A-04, A-13</t>
  </si>
  <si>
    <t>Срок</t>
  </si>
  <si>
    <t>Как работи автоматиката:</t>
  </si>
  <si>
    <t>Час</t>
  </si>
  <si>
    <t xml:space="preserve">
</t>
  </si>
  <si>
    <t xml:space="preserve">   • Риск = Probablity × Impact. Ниво и Приемлив се пресмятат сами от Риск и от апетита.</t>
  </si>
  <si>
    <t>Остат. P</t>
  </si>
  <si>
    <t xml:space="preserve">   • В Плана за третиране „Първонач. риск“ се тегли автоматично от Регистъра на риска по R-ID.</t>
  </si>
  <si>
    <t>Остат. I</t>
  </si>
  <si>
    <t>Работа на услугата</t>
  </si>
  <si>
    <t xml:space="preserve">   • Остатъчен риск = Остат. Probability × Остат. Impact; попълва се, когато контролът се внедри.</t>
  </si>
  <si>
    <t>A-02</t>
  </si>
  <si>
    <t xml:space="preserve">Публичен dashboard за граждани (443)
</t>
  </si>
  <si>
    <t>Остат. риск</t>
  </si>
  <si>
    <t>Данни</t>
  </si>
  <si>
    <t>Доказателство</t>
  </si>
  <si>
    <t>Финанси и право</t>
  </si>
  <si>
    <t>софтуер</t>
  </si>
  <si>
    <t>Репутация</t>
  </si>
  <si>
    <t>Минимум за предаване: ≥12 актива, ≥12 оценени риска, план за третиране на всички неприемливи рискове.</t>
  </si>
  <si>
    <t>1 Нищожно</t>
  </si>
  <si>
    <t>публична</t>
  </si>
  <si>
    <t>без забележимо прекъсване</t>
  </si>
  <si>
    <t xml:space="preserve">Ямбол HQ, DMZ 10.240.0.20
</t>
  </si>
  <si>
    <t>без загуба/разкриване</t>
  </si>
  <si>
    <t>R-01</t>
  </si>
  <si>
    <t>A-04, A-12</t>
  </si>
  <si>
    <t>пренебрежими разходи</t>
  </si>
  <si>
    <t>без отзвук</t>
  </si>
  <si>
    <t xml:space="preserve">A-01 (MQTT брокер)
</t>
  </si>
  <si>
    <t>2 Малко</t>
  </si>
  <si>
    <t>прекъсване до половин ден за част</t>
  </si>
  <si>
    <t>възстановимо от архив</t>
  </si>
  <si>
    <t>в рамките на бюджета</t>
  </si>
  <si>
    <t>отделни оплаквания</t>
  </si>
  <si>
    <t>A-03</t>
  </si>
  <si>
    <t xml:space="preserve">Външен нападател T1078 (Valid Accounts) → T1565.002 (Transmitted Data Manipulation)
</t>
  </si>
  <si>
    <t>3 Средно</t>
  </si>
  <si>
    <t>Управленски dashboard за общински оператори</t>
  </si>
  <si>
    <t>до един ден на основна услуга</t>
  </si>
  <si>
    <t>загуба до RPO/вътрешна инфо</t>
  </si>
  <si>
    <t xml:space="preserve">Брокерът приема publish от всеки клиент с валидни данни, без ACL по тема и без ограничение на източника
</t>
  </si>
  <si>
    <t>неустойки, извънредни разходи</t>
  </si>
  <si>
    <t xml:space="preserve">Нападател с откраднати данни на устройство публикува команди към светофарите
</t>
  </si>
  <si>
    <t>локална публичност</t>
  </si>
  <si>
    <t>4 Голямо</t>
  </si>
  <si>
    <t>над ден или всички потребители</t>
  </si>
  <si>
    <t>лични/поверителни данни</t>
  </si>
  <si>
    <t xml:space="preserve">TLS на порт 8883 (MQTTS)
</t>
  </si>
  <si>
    <t xml:space="preserve">Ямбол HQ, зад прокси
</t>
  </si>
  <si>
    <t>надзорен орган, санкции</t>
  </si>
  <si>
    <t xml:space="preserve">А-01, A-04, A-09
</t>
  </si>
  <si>
    <t>национална публичност</t>
  </si>
  <si>
    <t>A-04</t>
  </si>
  <si>
    <t>5 Критично</t>
  </si>
  <si>
    <t>Firewall / gateway gw (nftables)</t>
  </si>
  <si>
    <t>спиране, живот и здраве, КИ</t>
  </si>
  <si>
    <t>масово/невъзстановимо</t>
  </si>
  <si>
    <t>мрежа</t>
  </si>
  <si>
    <t>лиценз, наказателна отг.</t>
  </si>
  <si>
    <t>трайна загуба на доверие</t>
  </si>
  <si>
    <t xml:space="preserve">Ямбол HQ 10.240.0.1
</t>
  </si>
  <si>
    <t>НИВА НА РИСК (вероятност × въздействие)</t>
  </si>
  <si>
    <t xml:space="preserve">—
</t>
  </si>
  <si>
    <t>A-05</t>
  </si>
  <si>
    <t>Стойност</t>
  </si>
  <si>
    <t xml:space="preserve">IoT VLAN „Умно осветление“
</t>
  </si>
  <si>
    <t>Цвят</t>
  </si>
  <si>
    <t>Срок за третиране</t>
  </si>
  <si>
    <t>Нисък</t>
  </si>
  <si>
    <t>1–4</t>
  </si>
  <si>
    <t>вътрешна</t>
  </si>
  <si>
    <t xml:space="preserve">Елхово 10.241.0.0/22; Тополовград 10.242.0.0/22
</t>
  </si>
  <si>
    <t>A-01, А-04</t>
  </si>
  <si>
    <t>A-06</t>
  </si>
  <si>
    <t xml:space="preserve">IoT VLAN „Трафик светофари“
</t>
  </si>
  <si>
    <t>приема се / наблюдава се</t>
  </si>
  <si>
    <t>Умерен</t>
  </si>
  <si>
    <t xml:space="preserve">А-01, A-04
</t>
  </si>
  <si>
    <t>5–9</t>
  </si>
  <si>
    <t>A-07</t>
  </si>
  <si>
    <t xml:space="preserve">IoT VLAN „Отпадъчни контейнери“
</t>
  </si>
  <si>
    <t>наблюдава се</t>
  </si>
  <si>
    <t>А-01, A-04</t>
  </si>
  <si>
    <t>Висок</t>
  </si>
  <si>
    <t>A-08</t>
  </si>
  <si>
    <t>10–15</t>
  </si>
  <si>
    <t xml:space="preserve">IoT устройства (лампи, светофарни контролери, сензори на контейнери)
</t>
  </si>
  <si>
    <t>хардуер</t>
  </si>
  <si>
    <t>Общински оператор</t>
  </si>
  <si>
    <t>Елхово и Тополовград (IoT VLAN-и)</t>
  </si>
  <si>
    <t>третира се до 90 дни</t>
  </si>
  <si>
    <t>A-01, A-05, A-06, A-07</t>
  </si>
  <si>
    <t>Критичен</t>
  </si>
  <si>
    <t>A-09</t>
  </si>
  <si>
    <t>16–25</t>
  </si>
  <si>
    <t>Идентичност и роли (Keycloak)</t>
  </si>
  <si>
    <t>строго поверителна</t>
  </si>
  <si>
    <t>srv, Ямбол HQ</t>
  </si>
  <si>
    <t>третира се до 30 дни, временна мярка до 7 дни</t>
  </si>
  <si>
    <t>A-10</t>
  </si>
  <si>
    <t>Мониторинг (Wazuh)</t>
  </si>
  <si>
    <t>ВАРИАНТИ ЗА ТРЕТИРАНЕ</t>
  </si>
  <si>
    <t>Намаляване</t>
  </si>
  <si>
    <t>контрол, който сваля вероятността или въздействието</t>
  </si>
  <si>
    <t>Прехвърляне</t>
  </si>
  <si>
    <t>mon, Ямбол HQ</t>
  </si>
  <si>
    <t>A-01, A-02, A-04</t>
  </si>
  <si>
    <t>застраховка или договорна клауза; какво остава непрехвърлено</t>
  </si>
  <si>
    <t>A-11</t>
  </si>
  <si>
    <t>Избягване</t>
  </si>
  <si>
    <t>Конфигурационни команди и настройки на устройствата</t>
  </si>
  <si>
    <t>спиране на дейността, която носи риска</t>
  </si>
  <si>
    <t>информация</t>
  </si>
  <si>
    <t>Приемане</t>
  </si>
  <si>
    <t xml:space="preserve">Общински оператор
</t>
  </si>
  <si>
    <t>рискът е под апетита или третирането струва повече от щетата; кой приема, с длъжност и дата</t>
  </si>
  <si>
    <t>Ямбол HQ</t>
  </si>
  <si>
    <t>A-01, A-03</t>
  </si>
  <si>
    <t>A-12</t>
  </si>
  <si>
    <t>Телеметрия и градски данни (трафик, осветление, контейнери)</t>
  </si>
  <si>
    <t>A-01, A-08</t>
  </si>
  <si>
    <t>A-13</t>
  </si>
  <si>
    <t>TLS сертификати и частни ключове</t>
  </si>
  <si>
    <t>—</t>
  </si>
  <si>
    <t>A-14</t>
  </si>
  <si>
    <t>Общински оператор в Ямбол (ключово знание)</t>
  </si>
  <si>
    <t>хора</t>
  </si>
  <si>
    <t>Управител</t>
  </si>
  <si>
    <t>A-15</t>
  </si>
  <si>
    <t>Сървърно помещение Ямбол HQ</t>
  </si>
  <si>
    <t>помещение</t>
  </si>
  <si>
    <t>Фасилити</t>
  </si>
  <si>
    <t>A-16</t>
  </si>
  <si>
    <t>Резервни копия на конфигурациите</t>
  </si>
  <si>
    <t>A-01, A-09, A-13</t>
  </si>
  <si>
    <t>A-17</t>
  </si>
  <si>
    <t>AI асистент за анализ на градски данни</t>
  </si>
  <si>
    <t>намаляване</t>
  </si>
  <si>
    <t>artefakti/h07-keycloak/  ◄ ПРИМЕР — критичен → намаляване</t>
  </si>
  <si>
    <t>R-02</t>
  </si>
  <si>
    <t xml:space="preserve">A-06 (IoT VLAN трафик светофари)
</t>
  </si>
  <si>
    <t xml:space="preserve">Компрометирано IoT устройство T1021 (Remote Services) → T1570 (Lateral Tool Transfer)
</t>
  </si>
  <si>
    <t xml:space="preserve">Липса на изолация между Lights, Traffic и Bins
</t>
  </si>
  <si>
    <t xml:space="preserve">Хакнат сензор на контейнер достига VLAN-а на светофарите и променя режима им
</t>
  </si>
  <si>
    <t xml:space="preserve">Отделен VLAN за всеки тип устройство
</t>
  </si>
  <si>
    <t>◄ ПРИМЕР — нисък → приемане</t>
  </si>
  <si>
    <t>R-03</t>
  </si>
  <si>
    <t>A-08 (IoT устройства)</t>
  </si>
  <si>
    <t>Външен нападател T1078.001 (Default Accounts) → T1584 (Compromise Infrastructure)</t>
  </si>
  <si>
    <t xml:space="preserve">Устройствата ползват фабрични или общи данни за вход
</t>
  </si>
  <si>
    <t xml:space="preserve">Нападател влиза с фабрични данни в много устройства едновременно и ги пренасочва </t>
  </si>
  <si>
    <t>няма</t>
  </si>
  <si>
    <t>A-ID (актив)</t>
  </si>
  <si>
    <t>Кратко описание на риска</t>
  </si>
  <si>
    <t>Първонач. риск</t>
  </si>
  <si>
    <t>Вариант за третиране</t>
  </si>
  <si>
    <t>Планиран контрол</t>
  </si>
  <si>
    <t>Annex A код</t>
  </si>
  <si>
    <t>R-04</t>
  </si>
  <si>
    <t>A-05 (IoT VLAN осветление)</t>
  </si>
  <si>
    <t>Час от курса</t>
  </si>
  <si>
    <t>Компрометирано устройство T1071.001 (Web Protocols) → T1105 (Ingress Tool Transfer)</t>
  </si>
  <si>
    <t>Статус</t>
  </si>
  <si>
    <t>IoT устройствата могат да достигат интернет</t>
  </si>
  <si>
    <t xml:space="preserve">Заразено устройство се свързва към C2 сървър в интернет и участва в ботнет </t>
  </si>
  <si>
    <t>Остат. В</t>
  </si>
  <si>
    <t>Остат. Въ</t>
  </si>
  <si>
    <t>Доказателство / артефакт</t>
  </si>
  <si>
    <t xml:space="preserve">Подменени команди към светофари през чужд или откраднат достъп до брокера
</t>
  </si>
  <si>
    <t>R-05</t>
  </si>
  <si>
    <t>A-02 (публичен dashboard)</t>
  </si>
  <si>
    <t>Външен нападател T1190 (Exploit Public-Facing Application)</t>
  </si>
  <si>
    <t>Dashboard-ът е достъпен от интернет на порт 443 без филтриране на заявките</t>
  </si>
  <si>
    <t>Нападател експлоатира уязвимост в публичното табло и подменя показваното съдържание</t>
  </si>
  <si>
    <t>TLS на порт 443</t>
  </si>
  <si>
    <t xml:space="preserve">nftables: publish към IoT само от 10.240.0.0/24; ACL по тема в Mosquitto; отделни данни за всяко устройство
</t>
  </si>
  <si>
    <t xml:space="preserve">A.8.20, A.8.22, A.5.15
</t>
  </si>
  <si>
    <t>R-06</t>
  </si>
  <si>
    <t>Външен нападател T1498 (Network Denial of Service)</t>
  </si>
  <si>
    <t>Публичен достъп без ограничение на скоростта на заявките</t>
  </si>
  <si>
    <t>Претоварване на публичното табло прави данните недостъпни за граждани, управлението остава работещо</t>
  </si>
  <si>
    <t>artefakti/h07-keycloak/  ◄ ПРИМЕР</t>
  </si>
  <si>
    <t>приемане</t>
  </si>
  <si>
    <t xml:space="preserve">Преминаване между IoT VLAN-ите от компрометирано устройство
</t>
  </si>
  <si>
    <t>R-07</t>
  </si>
  <si>
    <t>A-03 (управленски dashboard)</t>
  </si>
  <si>
    <t>Външен нападател T1110 (Brute Force) → T1078 (Valid Accounts)</t>
  </si>
  <si>
    <t>Вход на оператор само с парола, без втори фактор</t>
  </si>
  <si>
    <t xml:space="preserve">Нападател налучква парола на оператор и изпраща конфигурационни команди </t>
  </si>
  <si>
    <t xml:space="preserve">nftables: DROP между Lights, Traffic и Bins
</t>
  </si>
  <si>
    <t xml:space="preserve">A.8.22, A.8.20
</t>
  </si>
  <si>
    <t>R-08</t>
  </si>
  <si>
    <t>A-09 (Keycloak)</t>
  </si>
  <si>
    <t>Отказ на услугата T1499 (Endpoint Denial of Service)</t>
  </si>
  <si>
    <t>◄ ПРИМЕР — под апетита, приема се</t>
  </si>
  <si>
    <t>Единична инстанция на услугата за идентичност</t>
  </si>
  <si>
    <t>Спиране на Keycloak не позволява вход на операторите за няколко часа</t>
  </si>
  <si>
    <t xml:space="preserve">Масов вход във фабрично конфигурирани IoT устройства
</t>
  </si>
  <si>
    <t xml:space="preserve">Уникални идентичности на устройствата, смяна на фабричните данни
</t>
  </si>
  <si>
    <t xml:space="preserve">A.8.5, A.8.9
</t>
  </si>
  <si>
    <t>R-09</t>
  </si>
  <si>
    <t>A-10 (Wazuh)</t>
  </si>
  <si>
    <t>Нападател T1562.001 (Disable or Modify Tools) → T1070 (Indicator Removal)</t>
  </si>
  <si>
    <t>Логовете на gw и брокера стоят само локално</t>
  </si>
  <si>
    <t>Нападател изтрива логовете и инцидентът не може да се докаже пред надзорния орган</t>
  </si>
  <si>
    <t xml:space="preserve">IoT устройство се свързва към C2 в интернет
</t>
  </si>
  <si>
    <t xml:space="preserve">nftables: DROP на трафика от IoT VLAN-ите към интернет
</t>
  </si>
  <si>
    <t xml:space="preserve">A.8.20, A.8.23
</t>
  </si>
  <si>
    <t>R-10</t>
  </si>
  <si>
    <t>A-11 (команди и настройки)</t>
  </si>
  <si>
    <t>Нападател по пътя T1557 (Adversary-in-the-Middle) → T1565.002 (Transmitted Data Manipulation)</t>
  </si>
  <si>
    <t>Устройствата не проверяват сертификата на брокера</t>
  </si>
  <si>
    <t>Нападател подменя брокера и подава фалшиви команди на устройства</t>
  </si>
  <si>
    <t>TLS на порт 8883 (MQTTS)</t>
  </si>
  <si>
    <t xml:space="preserve">Експлоатация на публичния dashboard
</t>
  </si>
  <si>
    <t>R-11</t>
  </si>
  <si>
    <t>A-13 (TLS сертификати и ключове)</t>
  </si>
  <si>
    <t>Нападател T1552.004 (Private Keys)</t>
  </si>
  <si>
    <t>Частният ключ е в обикновен файл без ротация</t>
  </si>
  <si>
    <t>Изтичане на ключа позволява подмяна на брокера; изтекъл сертификат спира публичното табло</t>
  </si>
  <si>
    <t>TLS сертификати</t>
  </si>
  <si>
    <t xml:space="preserve">Прокси/WAF пред публичния dashboard и ограничение на скоростта
</t>
  </si>
  <si>
    <t xml:space="preserve">A.8.26, A.8.20
</t>
  </si>
  <si>
    <t xml:space="preserve">Претоварване на публичния dashboard
</t>
  </si>
  <si>
    <t>R-12</t>
  </si>
  <si>
    <t>A-14 (общински оператор)</t>
  </si>
  <si>
    <t>Нападател T1566 (Phishing) → T1078 (Valid Accounts)</t>
  </si>
  <si>
    <t>Операторите не са обучени да разпознават фишинг</t>
  </si>
  <si>
    <t>Оператор в Ямбол въвежда данните си във фалшива страница и нападателят изпраща команди</t>
  </si>
  <si>
    <t xml:space="preserve">—
</t>
  </si>
  <si>
    <t>R-13</t>
  </si>
  <si>
    <t>A-15 (сървърно помещение Ямбол)</t>
  </si>
  <si>
    <t>Прекъсване T1489 (Service Stop) от физическа причина (ток, пожар)</t>
  </si>
  <si>
    <t>Централата в Ямбол е единична точка на отказ</t>
  </si>
  <si>
    <t xml:space="preserve">Пожар или спиране на тока в Ямбол спира управлението на трите общини </t>
  </si>
  <si>
    <t xml:space="preserve">Налучкване на парола на оператор без втори фактор
</t>
  </si>
  <si>
    <t>прехвърляне</t>
  </si>
  <si>
    <t xml:space="preserve">MFA в Keycloak и oauth2-proxy пред управленския dashboard
</t>
  </si>
  <si>
    <t xml:space="preserve">A.8.5, A.5.15
</t>
  </si>
  <si>
    <t>R-14</t>
  </si>
  <si>
    <t>A-16 (резервни копия)</t>
  </si>
  <si>
    <t>Нападател T1486 (Data Encrypted for Impact)</t>
  </si>
  <si>
    <t>Копията са на същия хост, без офлайн екземпляр</t>
  </si>
  <si>
    <t>Криптиране на хоста унищожава и копията на конфигурацията</t>
  </si>
  <si>
    <t xml:space="preserve">Спиране на Keycloak и невъзможен вход
</t>
  </si>
  <si>
    <t xml:space="preserve">Изтриване на логове без централно копие
</t>
  </si>
  <si>
    <t xml:space="preserve">Агенти на Wazuh на gw и брокера, централно съхранение на логове
</t>
  </si>
  <si>
    <t xml:space="preserve">A.8.15, A.8.16
</t>
  </si>
  <si>
    <t xml:space="preserve">Подмяна на брокера и фалшиви команди
</t>
  </si>
  <si>
    <t xml:space="preserve">Проверка на сертификата на брокера от устройствата (TLS), по възможност mTLS
</t>
  </si>
  <si>
    <t xml:space="preserve">A.8.24, A.8.20
</t>
  </si>
  <si>
    <t xml:space="preserve">Изтичане на ключ или на срока на сертификат
</t>
  </si>
  <si>
    <t xml:space="preserve">Фишинг срещу общински оператор
</t>
  </si>
  <si>
    <t xml:space="preserve">MFA за операторите и обучение за фишинг
</t>
  </si>
  <si>
    <t xml:space="preserve">A.6.3, A.8.5
</t>
  </si>
  <si>
    <t xml:space="preserve">Спиране на централата в Ямбол
</t>
  </si>
  <si>
    <t xml:space="preserve">SLA с доставчик на свързаност и застраховка; остава непрехвърлен рискът за услугата
</t>
  </si>
  <si>
    <t xml:space="preserve">A.7.5, A.5.30, A.5.20
</t>
  </si>
  <si>
    <t xml:space="preserve">Унищожаване на копията заедно с хоста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</si>
</sst>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rgb="FFFFFFFF"/>
      <name val="Arial"/>
    </font>
    <font>
      <b/>
      <sz val="12.0"/>
      <color theme="1"/>
      <name val="Arial"/>
    </font>
    <font>
      <b/>
      <sz val="14.0"/>
      <color rgb="FFFFFFFF"/>
      <name val="Arial"/>
    </font>
    <font>
      <sz val="11.0"/>
      <color theme="1"/>
      <name val="Arial"/>
    </font>
    <font>
      <sz val="9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D08A"/>
        <bgColor rgb="FFFFD08A"/>
      </patternFill>
    </fill>
    <fill>
      <patternFill patternType="solid">
        <fgColor rgb="FFFFC7CE"/>
        <bgColor rgb="FFFFC7CE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Border="1" applyFill="1" applyFont="1"/>
    <xf borderId="2" fillId="2" fontId="4" numFmtId="0" xfId="0" applyAlignment="1" applyBorder="1" applyFill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2" fillId="2" fontId="8" numFmtId="0" xfId="0" applyAlignment="1" applyBorder="1" applyFill="1" applyFont="1">
      <alignment shrinkToFit="0" vertical="top" wrapText="1"/>
    </xf>
    <xf borderId="1" fillId="3" fontId="9" numFmtId="0" xfId="0" applyAlignment="1" applyBorder="1" applyFill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1" fillId="3" fontId="9" numFmtId="0" xfId="0" applyAlignment="1" applyBorder="1" applyFill="1" applyFont="1">
      <alignment readingOrder="0" shrinkToFit="0" vertical="top" wrapText="1"/>
    </xf>
    <xf borderId="2" fillId="4" fontId="1" numFmtId="0" xfId="0" applyAlignment="1" applyBorder="1" applyFill="1" applyFont="1">
      <alignment shrinkToFit="0" vertical="top" wrapText="1"/>
    </xf>
    <xf borderId="1" fillId="5" fontId="9" numFmtId="0" xfId="0" applyAlignment="1" applyBorder="1" applyFill="1" applyFont="1">
      <alignment readingOrder="0" shrinkToFit="0" vertical="top" wrapText="1"/>
    </xf>
    <xf borderId="2" fillId="3" fontId="7" numFmtId="0" xfId="0" applyAlignment="1" applyBorder="1" applyFill="1" applyFont="1">
      <alignment shrinkToFit="0" vertical="top" wrapText="1"/>
    </xf>
    <xf borderId="1" fillId="5" fontId="9" numFmtId="0" xfId="0" applyAlignment="1" applyBorder="1" applyFill="1" applyFont="1">
      <alignment shrinkToFit="0" vertical="top" wrapText="1"/>
    </xf>
    <xf borderId="2" fillId="6" fontId="10" numFmtId="0" xfId="0" applyBorder="1" applyFill="1" applyFont="1"/>
    <xf borderId="2" fillId="7" fontId="10" numFmtId="0" xfId="0" applyBorder="1" applyFill="1" applyFont="1"/>
    <xf borderId="2" fillId="8" fontId="10" numFmtId="0" xfId="0" applyBorder="1" applyFill="1" applyFont="1"/>
    <xf borderId="2" fillId="9" fontId="10" numFmtId="0" xfId="0" applyBorder="1" applyFill="1" applyFont="1"/>
    <xf borderId="1" fillId="4" fontId="9" numFmtId="0" xfId="0" applyAlignment="1" applyBorder="1" applyFill="1" applyFont="1">
      <alignment shrinkToFit="0" vertical="top" wrapText="1"/>
    </xf>
    <xf borderId="0" fillId="0" fontId="11" numFmtId="0" xfId="0" applyFont="1"/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D08A"/>
          <bgColor rgb="FFFFD08A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4" t="s">
        <v>2</v>
      </c>
    </row>
    <row r="2">
      <c r="A2" s="6"/>
    </row>
    <row r="3">
      <c r="A3" s="7" t="s">
        <v>16</v>
      </c>
    </row>
    <row r="4">
      <c r="A4" s="6"/>
    </row>
    <row r="5">
      <c r="A5" s="7" t="s">
        <v>20</v>
      </c>
    </row>
    <row r="6">
      <c r="A6" s="6" t="s">
        <v>23</v>
      </c>
    </row>
    <row r="7">
      <c r="A7" s="6" t="s">
        <v>26</v>
      </c>
    </row>
    <row r="8">
      <c r="A8" s="6" t="s">
        <v>29</v>
      </c>
    </row>
    <row r="9">
      <c r="A9" s="6"/>
    </row>
    <row r="10">
      <c r="A10" s="7" t="s">
        <v>33</v>
      </c>
    </row>
    <row r="11">
      <c r="A11" s="6" t="s">
        <v>38</v>
      </c>
    </row>
    <row r="12">
      <c r="A12" s="6" t="s">
        <v>41</v>
      </c>
    </row>
    <row r="13">
      <c r="A13" s="6" t="s">
        <v>46</v>
      </c>
    </row>
    <row r="14">
      <c r="A14" s="6" t="s">
        <v>50</v>
      </c>
    </row>
    <row r="15">
      <c r="A15" s="6" t="s">
        <v>53</v>
      </c>
    </row>
    <row r="16">
      <c r="A16" s="6"/>
    </row>
    <row r="17">
      <c r="A17" s="7" t="s">
        <v>56</v>
      </c>
    </row>
    <row r="18">
      <c r="A18" s="6" t="s">
        <v>59</v>
      </c>
    </row>
    <row r="19">
      <c r="A19" s="6" t="s">
        <v>61</v>
      </c>
    </row>
    <row r="20">
      <c r="A20" s="6" t="s">
        <v>64</v>
      </c>
    </row>
    <row r="21" ht="15.75" customHeight="1">
      <c r="A21" s="6"/>
    </row>
    <row r="22" ht="15.75" customHeight="1">
      <c r="A22" s="14" t="s">
        <v>73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46.0"/>
    <col customWidth="1" min="3" max="4" width="20.0"/>
    <col customWidth="1" min="5" max="5" width="26.0"/>
    <col customWidth="1" min="6" max="26" width="8.71"/>
  </cols>
  <sheetData>
    <row r="1">
      <c r="A1" s="1" t="s">
        <v>0</v>
      </c>
      <c r="B1" s="3">
        <v>9.0</v>
      </c>
    </row>
    <row r="2">
      <c r="A2" s="5" t="s">
        <v>9</v>
      </c>
    </row>
    <row r="4">
      <c r="A4" s="8" t="s">
        <v>17</v>
      </c>
    </row>
    <row r="5">
      <c r="A5" s="1" t="s">
        <v>22</v>
      </c>
      <c r="B5" s="10" t="s">
        <v>25</v>
      </c>
    </row>
    <row r="6">
      <c r="A6" s="1" t="s">
        <v>30</v>
      </c>
      <c r="B6" s="10" t="s">
        <v>31</v>
      </c>
    </row>
    <row r="7">
      <c r="A7" s="1" t="s">
        <v>34</v>
      </c>
      <c r="B7" s="10" t="s">
        <v>35</v>
      </c>
    </row>
    <row r="8">
      <c r="A8" s="1" t="s">
        <v>36</v>
      </c>
      <c r="B8" s="10" t="s">
        <v>37</v>
      </c>
    </row>
    <row r="9">
      <c r="A9" s="1" t="s">
        <v>40</v>
      </c>
      <c r="B9" s="10" t="s">
        <v>42</v>
      </c>
    </row>
    <row r="11">
      <c r="A11" s="8" t="s">
        <v>48</v>
      </c>
    </row>
    <row r="12">
      <c r="A12" s="12" t="s">
        <v>32</v>
      </c>
      <c r="B12" s="12" t="s">
        <v>63</v>
      </c>
      <c r="C12" s="12" t="s">
        <v>68</v>
      </c>
      <c r="D12" s="12" t="s">
        <v>70</v>
      </c>
      <c r="E12" s="12" t="s">
        <v>72</v>
      </c>
    </row>
    <row r="13">
      <c r="A13" s="1" t="s">
        <v>74</v>
      </c>
      <c r="B13" s="10" t="s">
        <v>76</v>
      </c>
      <c r="C13" s="10" t="s">
        <v>78</v>
      </c>
      <c r="D13" s="10" t="s">
        <v>81</v>
      </c>
      <c r="E13" s="10" t="s">
        <v>82</v>
      </c>
    </row>
    <row r="14">
      <c r="A14" s="1" t="s">
        <v>84</v>
      </c>
      <c r="B14" s="10" t="s">
        <v>85</v>
      </c>
      <c r="C14" s="10" t="s">
        <v>86</v>
      </c>
      <c r="D14" s="10" t="s">
        <v>87</v>
      </c>
      <c r="E14" s="10" t="s">
        <v>88</v>
      </c>
    </row>
    <row r="15">
      <c r="A15" s="1" t="s">
        <v>91</v>
      </c>
      <c r="B15" s="10" t="s">
        <v>93</v>
      </c>
      <c r="C15" s="10" t="s">
        <v>94</v>
      </c>
      <c r="D15" s="10" t="s">
        <v>96</v>
      </c>
      <c r="E15" s="10" t="s">
        <v>98</v>
      </c>
    </row>
    <row r="16">
      <c r="A16" s="1" t="s">
        <v>99</v>
      </c>
      <c r="B16" s="10" t="s">
        <v>100</v>
      </c>
      <c r="C16" s="10" t="s">
        <v>101</v>
      </c>
      <c r="D16" s="10" t="s">
        <v>104</v>
      </c>
      <c r="E16" s="10" t="s">
        <v>106</v>
      </c>
    </row>
    <row r="17">
      <c r="A17" s="1" t="s">
        <v>108</v>
      </c>
      <c r="B17" s="10" t="s">
        <v>110</v>
      </c>
      <c r="C17" s="10" t="s">
        <v>111</v>
      </c>
      <c r="D17" s="10" t="s">
        <v>113</v>
      </c>
      <c r="E17" s="10" t="s">
        <v>114</v>
      </c>
    </row>
    <row r="19">
      <c r="A19" s="8" t="s">
        <v>116</v>
      </c>
    </row>
    <row r="20">
      <c r="A20" s="12" t="s">
        <v>32</v>
      </c>
      <c r="B20" s="12" t="s">
        <v>119</v>
      </c>
      <c r="C20" s="12" t="s">
        <v>121</v>
      </c>
      <c r="D20" s="12" t="s">
        <v>122</v>
      </c>
    </row>
    <row r="21" ht="15.75" customHeight="1">
      <c r="A21" s="1" t="s">
        <v>123</v>
      </c>
      <c r="B21" s="10" t="s">
        <v>124</v>
      </c>
      <c r="C21" s="16"/>
      <c r="D21" s="10" t="s">
        <v>130</v>
      </c>
    </row>
    <row r="22" ht="15.75" customHeight="1">
      <c r="A22" s="1" t="s">
        <v>131</v>
      </c>
      <c r="B22" s="10" t="s">
        <v>133</v>
      </c>
      <c r="C22" s="17"/>
      <c r="D22" s="10" t="s">
        <v>136</v>
      </c>
    </row>
    <row r="23" ht="15.75" customHeight="1">
      <c r="A23" s="1" t="s">
        <v>138</v>
      </c>
      <c r="B23" s="10" t="s">
        <v>140</v>
      </c>
      <c r="C23" s="18"/>
      <c r="D23" s="10" t="s">
        <v>145</v>
      </c>
    </row>
    <row r="24" ht="15.75" customHeight="1">
      <c r="A24" s="1" t="s">
        <v>147</v>
      </c>
      <c r="B24" s="10" t="s">
        <v>149</v>
      </c>
      <c r="C24" s="19"/>
      <c r="D24" s="10" t="s">
        <v>153</v>
      </c>
    </row>
    <row r="25" ht="15.75" customHeight="1"/>
    <row r="26" ht="15.75" customHeight="1">
      <c r="A26" s="8" t="s">
        <v>156</v>
      </c>
    </row>
    <row r="27" ht="15.75" customHeight="1">
      <c r="A27" s="1" t="s">
        <v>157</v>
      </c>
      <c r="B27" s="10" t="s">
        <v>158</v>
      </c>
    </row>
    <row r="28" ht="15.75" customHeight="1">
      <c r="A28" s="1" t="s">
        <v>159</v>
      </c>
      <c r="B28" s="10" t="s">
        <v>162</v>
      </c>
    </row>
    <row r="29" ht="15.75" customHeight="1">
      <c r="A29" s="1" t="s">
        <v>164</v>
      </c>
      <c r="B29" s="10" t="s">
        <v>166</v>
      </c>
    </row>
    <row r="30" ht="15.75" customHeight="1">
      <c r="A30" s="1" t="s">
        <v>168</v>
      </c>
      <c r="B30" s="10" t="s">
        <v>170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2.0"/>
    <col customWidth="1" min="3" max="3" width="13.0"/>
    <col customWidth="1" min="4" max="5" width="22.0"/>
    <col customWidth="1" min="6" max="6" width="18.0"/>
    <col customWidth="1" min="7" max="7" width="22.0"/>
    <col customWidth="1" min="8" max="8" width="16.0"/>
    <col customWidth="1" min="9" max="9" width="34.0"/>
    <col customWidth="1" min="10" max="26" width="8.71"/>
  </cols>
  <sheetData>
    <row r="1" ht="30.0" customHeight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10</v>
      </c>
      <c r="G1" s="2" t="s">
        <v>12</v>
      </c>
      <c r="H1" s="2" t="s">
        <v>14</v>
      </c>
      <c r="I1" s="2" t="s">
        <v>15</v>
      </c>
    </row>
    <row r="2">
      <c r="A2" s="9" t="s">
        <v>19</v>
      </c>
      <c r="B2" s="11" t="s">
        <v>27</v>
      </c>
      <c r="C2" s="11" t="s">
        <v>43</v>
      </c>
      <c r="D2" s="9" t="s">
        <v>45</v>
      </c>
      <c r="E2" s="9" t="s">
        <v>47</v>
      </c>
      <c r="F2" s="9" t="s">
        <v>51</v>
      </c>
      <c r="G2" s="11" t="s">
        <v>52</v>
      </c>
      <c r="H2" s="11" t="s">
        <v>54</v>
      </c>
      <c r="I2" s="13" t="s">
        <v>58</v>
      </c>
    </row>
    <row r="3">
      <c r="A3" s="9" t="s">
        <v>65</v>
      </c>
      <c r="B3" s="11" t="s">
        <v>66</v>
      </c>
      <c r="C3" s="11" t="s">
        <v>71</v>
      </c>
      <c r="D3" s="9" t="s">
        <v>45</v>
      </c>
      <c r="E3" s="9" t="s">
        <v>47</v>
      </c>
      <c r="F3" s="11" t="s">
        <v>75</v>
      </c>
      <c r="G3" s="11" t="s">
        <v>77</v>
      </c>
      <c r="H3" s="11" t="s">
        <v>80</v>
      </c>
      <c r="I3" s="15"/>
    </row>
    <row r="4">
      <c r="A4" s="9" t="s">
        <v>89</v>
      </c>
      <c r="B4" s="11" t="s">
        <v>92</v>
      </c>
      <c r="C4" s="11" t="s">
        <v>71</v>
      </c>
      <c r="D4" s="9" t="s">
        <v>45</v>
      </c>
      <c r="E4" s="11" t="s">
        <v>47</v>
      </c>
      <c r="F4" s="11" t="s">
        <v>51</v>
      </c>
      <c r="G4" s="11" t="s">
        <v>103</v>
      </c>
      <c r="H4" s="11" t="s">
        <v>105</v>
      </c>
      <c r="I4" s="15"/>
    </row>
    <row r="5">
      <c r="A5" s="11" t="s">
        <v>107</v>
      </c>
      <c r="B5" s="11" t="s">
        <v>109</v>
      </c>
      <c r="C5" s="11" t="s">
        <v>112</v>
      </c>
      <c r="D5" s="9" t="s">
        <v>45</v>
      </c>
      <c r="E5" s="9" t="s">
        <v>47</v>
      </c>
      <c r="F5" s="9" t="s">
        <v>51</v>
      </c>
      <c r="G5" s="11" t="s">
        <v>115</v>
      </c>
      <c r="H5" s="11" t="s">
        <v>117</v>
      </c>
      <c r="I5" s="15"/>
    </row>
    <row r="6">
      <c r="A6" s="11" t="s">
        <v>118</v>
      </c>
      <c r="B6" s="11" t="s">
        <v>120</v>
      </c>
      <c r="C6" s="11" t="s">
        <v>112</v>
      </c>
      <c r="D6" s="9" t="s">
        <v>45</v>
      </c>
      <c r="E6" s="9" t="s">
        <v>47</v>
      </c>
      <c r="F6" s="9" t="s">
        <v>125</v>
      </c>
      <c r="G6" s="11" t="s">
        <v>126</v>
      </c>
      <c r="H6" s="11" t="s">
        <v>127</v>
      </c>
      <c r="I6" s="15"/>
    </row>
    <row r="7">
      <c r="A7" s="11" t="s">
        <v>128</v>
      </c>
      <c r="B7" s="11" t="s">
        <v>129</v>
      </c>
      <c r="C7" s="11" t="s">
        <v>112</v>
      </c>
      <c r="D7" s="11" t="s">
        <v>45</v>
      </c>
      <c r="E7" s="11" t="s">
        <v>47</v>
      </c>
      <c r="F7" s="11" t="s">
        <v>51</v>
      </c>
      <c r="G7" s="11" t="s">
        <v>126</v>
      </c>
      <c r="H7" s="11" t="s">
        <v>132</v>
      </c>
      <c r="I7" s="15"/>
    </row>
    <row r="8">
      <c r="A8" s="11" t="s">
        <v>134</v>
      </c>
      <c r="B8" s="11" t="s">
        <v>135</v>
      </c>
      <c r="C8" s="11" t="s">
        <v>112</v>
      </c>
      <c r="D8" s="11" t="s">
        <v>45</v>
      </c>
      <c r="E8" s="11" t="s">
        <v>47</v>
      </c>
      <c r="F8" s="9" t="s">
        <v>125</v>
      </c>
      <c r="G8" s="11" t="s">
        <v>126</v>
      </c>
      <c r="H8" s="11" t="s">
        <v>137</v>
      </c>
      <c r="I8" s="15"/>
    </row>
    <row r="9">
      <c r="A9" s="11" t="s">
        <v>139</v>
      </c>
      <c r="B9" s="11" t="s">
        <v>141</v>
      </c>
      <c r="C9" s="11" t="s">
        <v>142</v>
      </c>
      <c r="D9" s="11" t="s">
        <v>45</v>
      </c>
      <c r="E9" s="11" t="s">
        <v>143</v>
      </c>
      <c r="F9" s="11" t="s">
        <v>125</v>
      </c>
      <c r="G9" s="11" t="s">
        <v>144</v>
      </c>
      <c r="H9" s="11" t="s">
        <v>146</v>
      </c>
      <c r="I9" s="9"/>
    </row>
    <row r="10">
      <c r="A10" s="11" t="s">
        <v>148</v>
      </c>
      <c r="B10" s="11" t="s">
        <v>150</v>
      </c>
      <c r="C10" s="11" t="s">
        <v>43</v>
      </c>
      <c r="D10" s="11" t="s">
        <v>45</v>
      </c>
      <c r="E10" s="11" t="s">
        <v>47</v>
      </c>
      <c r="F10" s="11" t="s">
        <v>151</v>
      </c>
      <c r="G10" s="11" t="s">
        <v>152</v>
      </c>
      <c r="H10" s="11" t="s">
        <v>107</v>
      </c>
      <c r="I10" s="9"/>
    </row>
    <row r="11">
      <c r="A11" s="11" t="s">
        <v>154</v>
      </c>
      <c r="B11" s="11" t="s">
        <v>155</v>
      </c>
      <c r="C11" s="11" t="s">
        <v>43</v>
      </c>
      <c r="D11" s="11" t="s">
        <v>45</v>
      </c>
      <c r="E11" s="11" t="s">
        <v>47</v>
      </c>
      <c r="F11" s="11" t="s">
        <v>51</v>
      </c>
      <c r="G11" s="11" t="s">
        <v>160</v>
      </c>
      <c r="H11" s="11" t="s">
        <v>161</v>
      </c>
      <c r="I11" s="9"/>
    </row>
    <row r="12">
      <c r="A12" s="11" t="s">
        <v>163</v>
      </c>
      <c r="B12" s="11" t="s">
        <v>165</v>
      </c>
      <c r="C12" s="11" t="s">
        <v>167</v>
      </c>
      <c r="D12" s="11" t="s">
        <v>45</v>
      </c>
      <c r="E12" s="11" t="s">
        <v>169</v>
      </c>
      <c r="F12" s="11" t="s">
        <v>151</v>
      </c>
      <c r="G12" s="11" t="s">
        <v>171</v>
      </c>
      <c r="H12" s="11" t="s">
        <v>172</v>
      </c>
      <c r="I12" s="9"/>
    </row>
    <row r="13">
      <c r="A13" s="11" t="s">
        <v>173</v>
      </c>
      <c r="B13" s="11" t="s">
        <v>174</v>
      </c>
      <c r="C13" s="11" t="s">
        <v>167</v>
      </c>
      <c r="D13" s="11" t="s">
        <v>45</v>
      </c>
      <c r="E13" s="11" t="s">
        <v>47</v>
      </c>
      <c r="F13" s="11" t="s">
        <v>125</v>
      </c>
      <c r="G13" s="11" t="s">
        <v>171</v>
      </c>
      <c r="H13" s="11" t="s">
        <v>175</v>
      </c>
      <c r="I13" s="9"/>
    </row>
    <row r="14">
      <c r="A14" s="11" t="s">
        <v>176</v>
      </c>
      <c r="B14" s="11" t="s">
        <v>177</v>
      </c>
      <c r="C14" s="11" t="s">
        <v>167</v>
      </c>
      <c r="D14" s="11" t="s">
        <v>45</v>
      </c>
      <c r="E14" s="11" t="s">
        <v>47</v>
      </c>
      <c r="F14" s="11" t="s">
        <v>151</v>
      </c>
      <c r="G14" s="11" t="s">
        <v>171</v>
      </c>
      <c r="H14" s="11" t="s">
        <v>178</v>
      </c>
      <c r="I14" s="9"/>
    </row>
    <row r="15">
      <c r="A15" s="11" t="s">
        <v>179</v>
      </c>
      <c r="B15" s="11" t="s">
        <v>180</v>
      </c>
      <c r="C15" s="11" t="s">
        <v>181</v>
      </c>
      <c r="D15" s="11" t="s">
        <v>182</v>
      </c>
      <c r="E15" s="11" t="s">
        <v>178</v>
      </c>
      <c r="F15" s="11" t="s">
        <v>125</v>
      </c>
      <c r="G15" s="11" t="s">
        <v>171</v>
      </c>
      <c r="H15" s="11" t="s">
        <v>178</v>
      </c>
      <c r="I15" s="9"/>
    </row>
    <row r="16">
      <c r="A16" s="11" t="s">
        <v>183</v>
      </c>
      <c r="B16" s="11" t="s">
        <v>184</v>
      </c>
      <c r="C16" s="11" t="s">
        <v>185</v>
      </c>
      <c r="D16" s="11" t="s">
        <v>182</v>
      </c>
      <c r="E16" s="11" t="s">
        <v>186</v>
      </c>
      <c r="F16" s="11" t="s">
        <v>125</v>
      </c>
      <c r="G16" s="11" t="s">
        <v>171</v>
      </c>
      <c r="H16" s="11" t="s">
        <v>178</v>
      </c>
      <c r="I16" s="9"/>
    </row>
    <row r="17">
      <c r="A17" s="11" t="s">
        <v>187</v>
      </c>
      <c r="B17" s="11" t="s">
        <v>188</v>
      </c>
      <c r="C17" s="11" t="s">
        <v>167</v>
      </c>
      <c r="D17" s="11" t="s">
        <v>45</v>
      </c>
      <c r="E17" s="11" t="s">
        <v>47</v>
      </c>
      <c r="F17" s="11" t="s">
        <v>51</v>
      </c>
      <c r="G17" s="11" t="s">
        <v>171</v>
      </c>
      <c r="H17" s="11" t="s">
        <v>189</v>
      </c>
      <c r="I17" s="9"/>
    </row>
    <row r="18">
      <c r="A18" s="11" t="s">
        <v>190</v>
      </c>
      <c r="B18" s="11" t="s">
        <v>191</v>
      </c>
      <c r="C18" s="11" t="s">
        <v>71</v>
      </c>
      <c r="D18" s="11" t="s">
        <v>45</v>
      </c>
      <c r="E18" s="11" t="s">
        <v>47</v>
      </c>
      <c r="F18" s="11" t="s">
        <v>125</v>
      </c>
      <c r="G18" s="11" t="s">
        <v>171</v>
      </c>
      <c r="H18" s="11" t="s">
        <v>173</v>
      </c>
      <c r="I18" s="9"/>
    </row>
    <row r="19">
      <c r="A19" s="9"/>
      <c r="B19" s="9"/>
      <c r="C19" s="9"/>
      <c r="D19" s="9"/>
      <c r="E19" s="9"/>
      <c r="F19" s="9"/>
      <c r="G19" s="9"/>
      <c r="H19" s="9"/>
      <c r="I19" s="9"/>
    </row>
    <row r="20">
      <c r="A20" s="9"/>
      <c r="B20" s="9"/>
      <c r="C20" s="9"/>
      <c r="D20" s="9"/>
      <c r="E20" s="9"/>
      <c r="F20" s="9"/>
      <c r="G20" s="9"/>
      <c r="H20" s="9"/>
      <c r="I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</row>
    <row r="209" ht="15.75" customHeight="1">
      <c r="C209" s="21"/>
      <c r="F209" s="21"/>
    </row>
    <row r="210" ht="15.75" customHeight="1">
      <c r="C210" s="21"/>
      <c r="F210" s="21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210">
      <formula1>"информация,софтуер,хардуер,услуга,мрежа,хора,помещение"</formula1>
    </dataValidation>
    <dataValidation type="list" allowBlank="1" sqref="F2:F210">
      <formula1>"публична,вътрешна,поверителна,строго поверителна"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20.0"/>
    <col customWidth="1" min="4" max="4" width="30.0"/>
    <col customWidth="1" min="5" max="5" width="34.0"/>
    <col customWidth="1" min="6" max="6" width="26.0"/>
    <col customWidth="1" min="7" max="8" width="5.0"/>
    <col customWidth="1" min="9" max="9" width="7.0"/>
    <col customWidth="1" min="10" max="11" width="9.0"/>
    <col customWidth="1" min="12" max="12" width="14.0"/>
    <col customWidth="1" min="13" max="13" width="20.0"/>
    <col customWidth="1" min="14" max="14" width="12.0"/>
    <col customWidth="1" min="15" max="15" width="10.0"/>
    <col customWidth="1" min="16" max="17" width="8.0"/>
    <col customWidth="1" min="18" max="18" width="11.0"/>
    <col customWidth="1" min="19" max="19" width="30.0"/>
    <col customWidth="1" min="20" max="26" width="8.71"/>
  </cols>
  <sheetData>
    <row r="1" ht="30.0" customHeight="1">
      <c r="A1" s="2" t="s">
        <v>3</v>
      </c>
      <c r="B1" s="2" t="s">
        <v>1</v>
      </c>
      <c r="C1" s="2" t="s">
        <v>8</v>
      </c>
      <c r="D1" s="2" t="s">
        <v>11</v>
      </c>
      <c r="E1" s="2" t="s">
        <v>13</v>
      </c>
      <c r="F1" s="2" t="s">
        <v>18</v>
      </c>
      <c r="G1" s="2" t="s">
        <v>21</v>
      </c>
      <c r="H1" s="2" t="s">
        <v>24</v>
      </c>
      <c r="I1" s="2" t="s">
        <v>28</v>
      </c>
      <c r="J1" s="2" t="s">
        <v>32</v>
      </c>
      <c r="K1" s="2" t="s">
        <v>39</v>
      </c>
      <c r="L1" s="2" t="s">
        <v>44</v>
      </c>
      <c r="M1" s="2" t="s">
        <v>49</v>
      </c>
      <c r="N1" s="2" t="s">
        <v>55</v>
      </c>
      <c r="O1" s="2" t="s">
        <v>57</v>
      </c>
      <c r="P1" s="2" t="s">
        <v>60</v>
      </c>
      <c r="Q1" s="2" t="s">
        <v>62</v>
      </c>
      <c r="R1" s="2" t="s">
        <v>67</v>
      </c>
      <c r="S1" s="2" t="s">
        <v>69</v>
      </c>
    </row>
    <row r="2">
      <c r="A2" s="11" t="s">
        <v>79</v>
      </c>
      <c r="B2" s="11" t="s">
        <v>83</v>
      </c>
      <c r="C2" s="11" t="s">
        <v>90</v>
      </c>
      <c r="D2" s="11" t="s">
        <v>95</v>
      </c>
      <c r="E2" s="11" t="s">
        <v>97</v>
      </c>
      <c r="F2" s="11" t="s">
        <v>102</v>
      </c>
      <c r="G2" s="9">
        <v>4.0</v>
      </c>
      <c r="H2" s="11">
        <v>5.0</v>
      </c>
      <c r="I2" s="20">
        <f t="shared" ref="I2:I15" si="1">IF(OR(G2="",H2=""),"",G2*H2)</f>
        <v>20</v>
      </c>
      <c r="J2" s="20" t="str">
        <f t="shared" ref="J2:J15" si="2">IF(I2="","",IF(I2&lt;=4,"нисък",IF(I2&lt;=9,"умерен",IF(I2&lt;=15,"висок","критичен"))))</f>
        <v>критичен</v>
      </c>
      <c r="K2" s="20" t="str">
        <f>IF(I2="","",IF(I2&lt;='Скали'!$B$1,"да","не"))</f>
        <v>не</v>
      </c>
      <c r="L2" s="9" t="s">
        <v>192</v>
      </c>
      <c r="M2" s="9" t="s">
        <v>47</v>
      </c>
      <c r="N2" s="11" t="s">
        <v>178</v>
      </c>
      <c r="O2" s="11" t="s">
        <v>178</v>
      </c>
      <c r="P2" s="9">
        <v>2.0</v>
      </c>
      <c r="Q2" s="9">
        <v>4.0</v>
      </c>
      <c r="R2" s="20">
        <f t="shared" ref="R2:R210" si="3">IF(OR(P2="",Q2=""),"",P2*Q2)</f>
        <v>8</v>
      </c>
      <c r="S2" s="15" t="s">
        <v>193</v>
      </c>
    </row>
    <row r="3">
      <c r="A3" s="11" t="s">
        <v>194</v>
      </c>
      <c r="B3" s="11" t="s">
        <v>195</v>
      </c>
      <c r="C3" s="11" t="s">
        <v>196</v>
      </c>
      <c r="D3" s="11" t="s">
        <v>197</v>
      </c>
      <c r="E3" s="11" t="s">
        <v>198</v>
      </c>
      <c r="F3" s="11" t="s">
        <v>199</v>
      </c>
      <c r="G3" s="11">
        <v>3.0</v>
      </c>
      <c r="H3" s="11">
        <v>5.0</v>
      </c>
      <c r="I3" s="20">
        <f t="shared" si="1"/>
        <v>15</v>
      </c>
      <c r="J3" s="20" t="str">
        <f t="shared" si="2"/>
        <v>висок</v>
      </c>
      <c r="K3" s="20" t="str">
        <f>IF(I3="","",IF(I3&lt;='Скали'!$B$1,"да","не"))</f>
        <v>не</v>
      </c>
      <c r="L3" s="11" t="s">
        <v>192</v>
      </c>
      <c r="M3" s="11" t="s">
        <v>47</v>
      </c>
      <c r="N3" s="9"/>
      <c r="O3" s="9"/>
      <c r="P3" s="9">
        <v>2.0</v>
      </c>
      <c r="Q3" s="9">
        <v>2.0</v>
      </c>
      <c r="R3" s="20">
        <f t="shared" si="3"/>
        <v>4</v>
      </c>
      <c r="S3" s="15" t="s">
        <v>200</v>
      </c>
    </row>
    <row r="4">
      <c r="A4" s="11" t="s">
        <v>201</v>
      </c>
      <c r="B4" s="11" t="s">
        <v>202</v>
      </c>
      <c r="C4" s="11" t="s">
        <v>203</v>
      </c>
      <c r="D4" s="11" t="s">
        <v>204</v>
      </c>
      <c r="E4" s="11" t="s">
        <v>205</v>
      </c>
      <c r="F4" s="11" t="s">
        <v>206</v>
      </c>
      <c r="G4" s="11">
        <v>4.0</v>
      </c>
      <c r="H4" s="11">
        <v>4.0</v>
      </c>
      <c r="I4" s="20">
        <f t="shared" si="1"/>
        <v>16</v>
      </c>
      <c r="J4" s="20" t="str">
        <f t="shared" si="2"/>
        <v>критичен</v>
      </c>
      <c r="K4" s="20" t="str">
        <f>IF(I4="","",IF(I4&lt;='Скали'!$B$1,"да","не"))</f>
        <v>не</v>
      </c>
      <c r="L4" s="11" t="s">
        <v>192</v>
      </c>
      <c r="M4" s="11" t="s">
        <v>45</v>
      </c>
      <c r="N4" s="9"/>
      <c r="O4" s="9"/>
      <c r="P4" s="9"/>
      <c r="Q4" s="9"/>
      <c r="R4" s="20" t="str">
        <f t="shared" si="3"/>
        <v/>
      </c>
      <c r="S4" s="9"/>
    </row>
    <row r="5">
      <c r="A5" s="11" t="s">
        <v>213</v>
      </c>
      <c r="B5" s="11" t="s">
        <v>214</v>
      </c>
      <c r="C5" s="11" t="s">
        <v>216</v>
      </c>
      <c r="D5" s="11" t="s">
        <v>218</v>
      </c>
      <c r="E5" s="11" t="s">
        <v>219</v>
      </c>
      <c r="F5" s="11" t="s">
        <v>206</v>
      </c>
      <c r="G5" s="11">
        <v>4.0</v>
      </c>
      <c r="H5" s="11">
        <v>3.0</v>
      </c>
      <c r="I5" s="20">
        <f t="shared" si="1"/>
        <v>12</v>
      </c>
      <c r="J5" s="20" t="str">
        <f t="shared" si="2"/>
        <v>висок</v>
      </c>
      <c r="K5" s="20" t="str">
        <f>IF(I5="","",IF(I5&lt;='Скали'!$B$1,"да","не"))</f>
        <v>не</v>
      </c>
      <c r="L5" s="11" t="s">
        <v>192</v>
      </c>
      <c r="M5" s="11" t="s">
        <v>47</v>
      </c>
      <c r="N5" s="9"/>
      <c r="O5" s="9"/>
      <c r="P5" s="9"/>
      <c r="Q5" s="9"/>
      <c r="R5" s="20" t="str">
        <f t="shared" si="3"/>
        <v/>
      </c>
      <c r="S5" s="9"/>
    </row>
    <row r="6">
      <c r="A6" s="11" t="s">
        <v>224</v>
      </c>
      <c r="B6" s="11" t="s">
        <v>225</v>
      </c>
      <c r="C6" s="11" t="s">
        <v>226</v>
      </c>
      <c r="D6" s="11" t="s">
        <v>227</v>
      </c>
      <c r="E6" s="11" t="s">
        <v>228</v>
      </c>
      <c r="F6" s="11" t="s">
        <v>229</v>
      </c>
      <c r="G6" s="11">
        <v>4.0</v>
      </c>
      <c r="H6" s="11">
        <v>3.0</v>
      </c>
      <c r="I6" s="20">
        <f t="shared" si="1"/>
        <v>12</v>
      </c>
      <c r="J6" s="20" t="str">
        <f t="shared" si="2"/>
        <v>висок</v>
      </c>
      <c r="K6" s="20" t="str">
        <f>IF(I6="","",IF(I6&lt;='Скали'!$B$1,"да","не"))</f>
        <v>не</v>
      </c>
      <c r="L6" s="11" t="s">
        <v>192</v>
      </c>
      <c r="M6" s="11" t="s">
        <v>47</v>
      </c>
      <c r="N6" s="9"/>
      <c r="O6" s="9"/>
      <c r="P6" s="9"/>
      <c r="Q6" s="9"/>
      <c r="R6" s="20" t="str">
        <f t="shared" si="3"/>
        <v/>
      </c>
      <c r="S6" s="9"/>
    </row>
    <row r="7">
      <c r="A7" s="11" t="s">
        <v>232</v>
      </c>
      <c r="B7" s="11" t="s">
        <v>225</v>
      </c>
      <c r="C7" s="11" t="s">
        <v>233</v>
      </c>
      <c r="D7" s="11" t="s">
        <v>234</v>
      </c>
      <c r="E7" s="11" t="s">
        <v>235</v>
      </c>
      <c r="F7" s="11" t="s">
        <v>206</v>
      </c>
      <c r="G7" s="11">
        <v>3.0</v>
      </c>
      <c r="H7" s="11">
        <v>2.0</v>
      </c>
      <c r="I7" s="20">
        <f t="shared" si="1"/>
        <v>6</v>
      </c>
      <c r="J7" s="20" t="str">
        <f t="shared" si="2"/>
        <v>умерен</v>
      </c>
      <c r="K7" s="20" t="str">
        <f>IF(I7="","",IF(I7&lt;='Скали'!$B$1,"да","не"))</f>
        <v>да</v>
      </c>
      <c r="L7" s="11" t="s">
        <v>237</v>
      </c>
      <c r="M7" s="11" t="s">
        <v>45</v>
      </c>
      <c r="N7" s="9"/>
      <c r="O7" s="9"/>
      <c r="P7" s="9"/>
      <c r="Q7" s="9"/>
      <c r="R7" s="20" t="str">
        <f t="shared" si="3"/>
        <v/>
      </c>
      <c r="S7" s="9"/>
    </row>
    <row r="8">
      <c r="A8" s="11" t="s">
        <v>239</v>
      </c>
      <c r="B8" s="11" t="s">
        <v>240</v>
      </c>
      <c r="C8" s="11" t="s">
        <v>241</v>
      </c>
      <c r="D8" s="11" t="s">
        <v>242</v>
      </c>
      <c r="E8" s="11" t="s">
        <v>243</v>
      </c>
      <c r="F8" s="11" t="s">
        <v>206</v>
      </c>
      <c r="G8" s="11">
        <v>3.0</v>
      </c>
      <c r="H8" s="11">
        <v>4.0</v>
      </c>
      <c r="I8" s="20">
        <f t="shared" si="1"/>
        <v>12</v>
      </c>
      <c r="J8" s="20" t="str">
        <f t="shared" si="2"/>
        <v>висок</v>
      </c>
      <c r="K8" s="20" t="str">
        <f>IF(I8="","",IF(I8&lt;='Скали'!$B$1,"да","не"))</f>
        <v>не</v>
      </c>
      <c r="L8" s="11" t="s">
        <v>192</v>
      </c>
      <c r="M8" s="11" t="s">
        <v>45</v>
      </c>
      <c r="N8" s="9"/>
      <c r="O8" s="9"/>
      <c r="P8" s="9"/>
      <c r="Q8" s="9"/>
      <c r="R8" s="20" t="str">
        <f t="shared" si="3"/>
        <v/>
      </c>
      <c r="S8" s="9"/>
    </row>
    <row r="9">
      <c r="A9" s="11" t="s">
        <v>246</v>
      </c>
      <c r="B9" s="11" t="s">
        <v>247</v>
      </c>
      <c r="C9" s="11" t="s">
        <v>248</v>
      </c>
      <c r="D9" s="11" t="s">
        <v>250</v>
      </c>
      <c r="E9" s="11" t="s">
        <v>251</v>
      </c>
      <c r="F9" s="11" t="s">
        <v>206</v>
      </c>
      <c r="G9" s="11">
        <v>2.0</v>
      </c>
      <c r="H9" s="11">
        <v>3.0</v>
      </c>
      <c r="I9" s="20">
        <f t="shared" si="1"/>
        <v>6</v>
      </c>
      <c r="J9" s="20" t="str">
        <f t="shared" si="2"/>
        <v>умерен</v>
      </c>
      <c r="K9" s="20" t="str">
        <f>IF(I9="","",IF(I9&lt;='Скали'!$B$1,"да","не"))</f>
        <v>да</v>
      </c>
      <c r="L9" s="11" t="s">
        <v>237</v>
      </c>
      <c r="M9" s="11" t="s">
        <v>47</v>
      </c>
      <c r="N9" s="9"/>
      <c r="O9" s="9"/>
      <c r="P9" s="9"/>
      <c r="Q9" s="9"/>
      <c r="R9" s="20" t="str">
        <f t="shared" si="3"/>
        <v/>
      </c>
      <c r="S9" s="9"/>
    </row>
    <row r="10">
      <c r="A10" s="11" t="s">
        <v>255</v>
      </c>
      <c r="B10" s="11" t="s">
        <v>256</v>
      </c>
      <c r="C10" s="11" t="s">
        <v>257</v>
      </c>
      <c r="D10" s="11" t="s">
        <v>258</v>
      </c>
      <c r="E10" s="11" t="s">
        <v>259</v>
      </c>
      <c r="F10" s="11" t="s">
        <v>206</v>
      </c>
      <c r="G10" s="11">
        <v>3.0</v>
      </c>
      <c r="H10" s="11">
        <v>4.0</v>
      </c>
      <c r="I10" s="20">
        <f t="shared" si="1"/>
        <v>12</v>
      </c>
      <c r="J10" s="20" t="str">
        <f t="shared" si="2"/>
        <v>висок</v>
      </c>
      <c r="K10" s="20" t="str">
        <f>IF(I10="","",IF(I10&lt;='Скали'!$B$1,"да","не"))</f>
        <v>не</v>
      </c>
      <c r="L10" s="11" t="s">
        <v>192</v>
      </c>
      <c r="M10" s="11" t="s">
        <v>47</v>
      </c>
      <c r="N10" s="9"/>
      <c r="O10" s="9"/>
      <c r="P10" s="9"/>
      <c r="Q10" s="9"/>
      <c r="R10" s="20" t="str">
        <f t="shared" si="3"/>
        <v/>
      </c>
      <c r="S10" s="9"/>
    </row>
    <row r="11">
      <c r="A11" s="11" t="s">
        <v>263</v>
      </c>
      <c r="B11" s="11" t="s">
        <v>264</v>
      </c>
      <c r="C11" s="11" t="s">
        <v>265</v>
      </c>
      <c r="D11" s="11" t="s">
        <v>266</v>
      </c>
      <c r="E11" s="11" t="s">
        <v>267</v>
      </c>
      <c r="F11" s="11" t="s">
        <v>268</v>
      </c>
      <c r="G11" s="11">
        <v>2.0</v>
      </c>
      <c r="H11" s="11">
        <v>5.0</v>
      </c>
      <c r="I11" s="20">
        <f t="shared" si="1"/>
        <v>10</v>
      </c>
      <c r="J11" s="20" t="str">
        <f t="shared" si="2"/>
        <v>висок</v>
      </c>
      <c r="K11" s="20" t="str">
        <f>IF(I11="","",IF(I11&lt;='Скали'!$B$1,"да","не"))</f>
        <v>не</v>
      </c>
      <c r="L11" s="11" t="s">
        <v>192</v>
      </c>
      <c r="M11" s="11" t="s">
        <v>45</v>
      </c>
      <c r="N11" s="9"/>
      <c r="O11" s="9"/>
      <c r="P11" s="9"/>
      <c r="Q11" s="9"/>
      <c r="R11" s="20" t="str">
        <f t="shared" si="3"/>
        <v/>
      </c>
      <c r="S11" s="9"/>
    </row>
    <row r="12">
      <c r="A12" s="11" t="s">
        <v>270</v>
      </c>
      <c r="B12" s="11" t="s">
        <v>271</v>
      </c>
      <c r="C12" s="11" t="s">
        <v>272</v>
      </c>
      <c r="D12" s="11" t="s">
        <v>273</v>
      </c>
      <c r="E12" s="11" t="s">
        <v>274</v>
      </c>
      <c r="F12" s="11" t="s">
        <v>275</v>
      </c>
      <c r="G12" s="11">
        <v>2.0</v>
      </c>
      <c r="H12" s="11">
        <v>4.0</v>
      </c>
      <c r="I12" s="20">
        <f t="shared" si="1"/>
        <v>8</v>
      </c>
      <c r="J12" s="20" t="str">
        <f t="shared" si="2"/>
        <v>умерен</v>
      </c>
      <c r="K12" s="20" t="str">
        <f>IF(I12="","",IF(I12&lt;='Скали'!$B$1,"да","не"))</f>
        <v>да</v>
      </c>
      <c r="L12" s="11" t="s">
        <v>237</v>
      </c>
      <c r="M12" s="11" t="s">
        <v>47</v>
      </c>
      <c r="N12" s="9"/>
      <c r="O12" s="9"/>
      <c r="P12" s="9"/>
      <c r="Q12" s="9"/>
      <c r="R12" s="20" t="str">
        <f t="shared" si="3"/>
        <v/>
      </c>
      <c r="S12" s="9"/>
    </row>
    <row r="13">
      <c r="A13" s="11" t="s">
        <v>279</v>
      </c>
      <c r="B13" s="11" t="s">
        <v>280</v>
      </c>
      <c r="C13" s="11" t="s">
        <v>281</v>
      </c>
      <c r="D13" s="11" t="s">
        <v>282</v>
      </c>
      <c r="E13" s="11" t="s">
        <v>283</v>
      </c>
      <c r="F13" s="11" t="s">
        <v>206</v>
      </c>
      <c r="G13" s="11">
        <v>4.0</v>
      </c>
      <c r="H13" s="11">
        <v>3.0</v>
      </c>
      <c r="I13" s="20">
        <f t="shared" si="1"/>
        <v>12</v>
      </c>
      <c r="J13" s="20" t="str">
        <f t="shared" si="2"/>
        <v>висок</v>
      </c>
      <c r="K13" s="20" t="str">
        <f>IF(I13="","",IF(I13&lt;='Скали'!$B$1,"да","не"))</f>
        <v>не</v>
      </c>
      <c r="L13" s="11" t="s">
        <v>192</v>
      </c>
      <c r="M13" s="11" t="s">
        <v>182</v>
      </c>
      <c r="N13" s="9"/>
      <c r="O13" s="9"/>
      <c r="P13" s="9"/>
      <c r="Q13" s="9"/>
      <c r="R13" s="20" t="str">
        <f t="shared" si="3"/>
        <v/>
      </c>
      <c r="S13" s="9"/>
    </row>
    <row r="14">
      <c r="A14" s="11" t="s">
        <v>285</v>
      </c>
      <c r="B14" s="11" t="s">
        <v>286</v>
      </c>
      <c r="C14" s="11" t="s">
        <v>287</v>
      </c>
      <c r="D14" s="11" t="s">
        <v>288</v>
      </c>
      <c r="E14" s="11" t="s">
        <v>289</v>
      </c>
      <c r="F14" s="11" t="s">
        <v>206</v>
      </c>
      <c r="G14" s="11">
        <v>3.0</v>
      </c>
      <c r="H14" s="11">
        <v>4.0</v>
      </c>
      <c r="I14" s="20">
        <f t="shared" si="1"/>
        <v>12</v>
      </c>
      <c r="J14" s="20" t="str">
        <f t="shared" si="2"/>
        <v>висок</v>
      </c>
      <c r="K14" s="20" t="str">
        <f>IF(I14="","",IF(I14&lt;='Скали'!$B$1,"да","не"))</f>
        <v>не</v>
      </c>
      <c r="L14" s="11" t="s">
        <v>291</v>
      </c>
      <c r="M14" s="11" t="s">
        <v>182</v>
      </c>
      <c r="N14" s="9"/>
      <c r="O14" s="9"/>
      <c r="P14" s="9"/>
      <c r="Q14" s="9"/>
      <c r="R14" s="20" t="str">
        <f t="shared" si="3"/>
        <v/>
      </c>
      <c r="S14" s="9"/>
    </row>
    <row r="15">
      <c r="A15" s="11" t="s">
        <v>294</v>
      </c>
      <c r="B15" s="11" t="s">
        <v>295</v>
      </c>
      <c r="C15" s="11" t="s">
        <v>296</v>
      </c>
      <c r="D15" s="11" t="s">
        <v>297</v>
      </c>
      <c r="E15" s="11" t="s">
        <v>298</v>
      </c>
      <c r="F15" s="11" t="s">
        <v>206</v>
      </c>
      <c r="G15" s="11">
        <v>3.0</v>
      </c>
      <c r="H15" s="11">
        <v>3.0</v>
      </c>
      <c r="I15" s="20">
        <f t="shared" si="1"/>
        <v>9</v>
      </c>
      <c r="J15" s="20" t="str">
        <f t="shared" si="2"/>
        <v>умерен</v>
      </c>
      <c r="K15" s="20" t="str">
        <f>IF(I15="","",IF(I15&lt;='Скали'!$B$1,"да","не"))</f>
        <v>да</v>
      </c>
      <c r="L15" s="11" t="s">
        <v>237</v>
      </c>
      <c r="M15" s="11" t="s">
        <v>47</v>
      </c>
      <c r="N15" s="9"/>
      <c r="O15" s="9"/>
      <c r="P15" s="9"/>
      <c r="Q15" s="9"/>
      <c r="R15" s="20" t="str">
        <f t="shared" si="3"/>
        <v/>
      </c>
      <c r="S15" s="9"/>
    </row>
    <row r="16">
      <c r="A16" s="11"/>
      <c r="B16" s="11"/>
      <c r="C16" s="11"/>
      <c r="D16" s="11"/>
      <c r="E16" s="11"/>
      <c r="F16" s="11"/>
      <c r="G16" s="11"/>
      <c r="H16" s="11"/>
      <c r="I16" s="20"/>
      <c r="J16" s="20"/>
      <c r="K16" s="20"/>
      <c r="L16" s="11"/>
      <c r="M16" s="11"/>
      <c r="N16" s="9"/>
      <c r="O16" s="9"/>
      <c r="P16" s="9"/>
      <c r="Q16" s="9"/>
      <c r="R16" s="20" t="str">
        <f t="shared" si="3"/>
        <v/>
      </c>
      <c r="S16" s="9"/>
    </row>
    <row r="17">
      <c r="A17" s="9"/>
      <c r="B17" s="9"/>
      <c r="C17" s="9"/>
      <c r="D17" s="9"/>
      <c r="E17" s="9"/>
      <c r="F17" s="9"/>
      <c r="G17" s="9"/>
      <c r="H17" s="9"/>
      <c r="I17" s="20" t="str">
        <f t="shared" ref="I17:I210" si="4">IF(OR(G17="",H17=""),"",G17*H17)</f>
        <v/>
      </c>
      <c r="J17" s="20" t="str">
        <f t="shared" ref="J17:J210" si="5">IF(I17="","",IF(I17&lt;=4,"нисък",IF(I17&lt;=9,"умерен",IF(I17&lt;=15,"висок","критичен"))))</f>
        <v/>
      </c>
      <c r="K17" s="20" t="str">
        <f>IF(I17="","",IF(I17&lt;='Скали'!$B$1,"да","не"))</f>
        <v/>
      </c>
      <c r="L17" s="9"/>
      <c r="M17" s="9"/>
      <c r="N17" s="9"/>
      <c r="O17" s="9"/>
      <c r="P17" s="9"/>
      <c r="Q17" s="9"/>
      <c r="R17" s="20" t="str">
        <f t="shared" si="3"/>
        <v/>
      </c>
      <c r="S17" s="9"/>
    </row>
    <row r="18">
      <c r="A18" s="9"/>
      <c r="B18" s="9"/>
      <c r="C18" s="9"/>
      <c r="D18" s="9"/>
      <c r="E18" s="9"/>
      <c r="F18" s="9"/>
      <c r="G18" s="9"/>
      <c r="H18" s="9"/>
      <c r="I18" s="20" t="str">
        <f t="shared" si="4"/>
        <v/>
      </c>
      <c r="J18" s="20" t="str">
        <f t="shared" si="5"/>
        <v/>
      </c>
      <c r="K18" s="20" t="str">
        <f>IF(I18="","",IF(I18&lt;='Скали'!$B$1,"да","не"))</f>
        <v/>
      </c>
      <c r="L18" s="9"/>
      <c r="M18" s="9"/>
      <c r="N18" s="9"/>
      <c r="O18" s="9"/>
      <c r="P18" s="9"/>
      <c r="Q18" s="9"/>
      <c r="R18" s="20" t="str">
        <f t="shared" si="3"/>
        <v/>
      </c>
      <c r="S18" s="9"/>
    </row>
    <row r="19">
      <c r="A19" s="9"/>
      <c r="B19" s="9"/>
      <c r="C19" s="9"/>
      <c r="D19" s="9"/>
      <c r="E19" s="9"/>
      <c r="F19" s="9"/>
      <c r="G19" s="9"/>
      <c r="H19" s="9"/>
      <c r="I19" s="20" t="str">
        <f t="shared" si="4"/>
        <v/>
      </c>
      <c r="J19" s="20" t="str">
        <f t="shared" si="5"/>
        <v/>
      </c>
      <c r="K19" s="20" t="str">
        <f>IF(I19="","",IF(I19&lt;='Скали'!$B$1,"да","не"))</f>
        <v/>
      </c>
      <c r="L19" s="9"/>
      <c r="M19" s="9"/>
      <c r="N19" s="9"/>
      <c r="O19" s="9"/>
      <c r="P19" s="9"/>
      <c r="Q19" s="9"/>
      <c r="R19" s="20" t="str">
        <f t="shared" si="3"/>
        <v/>
      </c>
      <c r="S19" s="9"/>
    </row>
    <row r="20">
      <c r="A20" s="9"/>
      <c r="B20" s="9"/>
      <c r="C20" s="9"/>
      <c r="D20" s="9"/>
      <c r="E20" s="9"/>
      <c r="F20" s="9"/>
      <c r="G20" s="9"/>
      <c r="H20" s="9"/>
      <c r="I20" s="20" t="str">
        <f t="shared" si="4"/>
        <v/>
      </c>
      <c r="J20" s="20" t="str">
        <f t="shared" si="5"/>
        <v/>
      </c>
      <c r="K20" s="20" t="str">
        <f>IF(I20="","",IF(I20&lt;='Скали'!$B$1,"да","не"))</f>
        <v/>
      </c>
      <c r="L20" s="9"/>
      <c r="M20" s="9"/>
      <c r="N20" s="9"/>
      <c r="O20" s="9"/>
      <c r="P20" s="9"/>
      <c r="Q20" s="9"/>
      <c r="R20" s="20" t="str">
        <f t="shared" si="3"/>
        <v/>
      </c>
      <c r="S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20" t="str">
        <f t="shared" si="4"/>
        <v/>
      </c>
      <c r="J21" s="20" t="str">
        <f t="shared" si="5"/>
        <v/>
      </c>
      <c r="K21" s="20" t="str">
        <f>IF(I21="","",IF(I21&lt;='Скали'!$B$1,"да","не"))</f>
        <v/>
      </c>
      <c r="L21" s="9"/>
      <c r="M21" s="9"/>
      <c r="N21" s="9"/>
      <c r="O21" s="9"/>
      <c r="P21" s="9"/>
      <c r="Q21" s="9"/>
      <c r="R21" s="20" t="str">
        <f t="shared" si="3"/>
        <v/>
      </c>
      <c r="S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20" t="str">
        <f t="shared" si="4"/>
        <v/>
      </c>
      <c r="J22" s="20" t="str">
        <f t="shared" si="5"/>
        <v/>
      </c>
      <c r="K22" s="20" t="str">
        <f>IF(I22="","",IF(I22&lt;='Скали'!$B$1,"да","не"))</f>
        <v/>
      </c>
      <c r="L22" s="9"/>
      <c r="M22" s="9"/>
      <c r="N22" s="9"/>
      <c r="O22" s="9"/>
      <c r="P22" s="9"/>
      <c r="Q22" s="9"/>
      <c r="R22" s="20" t="str">
        <f t="shared" si="3"/>
        <v/>
      </c>
      <c r="S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20" t="str">
        <f t="shared" si="4"/>
        <v/>
      </c>
      <c r="J23" s="20" t="str">
        <f t="shared" si="5"/>
        <v/>
      </c>
      <c r="K23" s="20" t="str">
        <f>IF(I23="","",IF(I23&lt;='Скали'!$B$1,"да","не"))</f>
        <v/>
      </c>
      <c r="L23" s="9"/>
      <c r="M23" s="9"/>
      <c r="N23" s="9"/>
      <c r="O23" s="9"/>
      <c r="P23" s="9"/>
      <c r="Q23" s="9"/>
      <c r="R23" s="20" t="str">
        <f t="shared" si="3"/>
        <v/>
      </c>
      <c r="S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20" t="str">
        <f t="shared" si="4"/>
        <v/>
      </c>
      <c r="J24" s="20" t="str">
        <f t="shared" si="5"/>
        <v/>
      </c>
      <c r="K24" s="20" t="str">
        <f>IF(I24="","",IF(I24&lt;='Скали'!$B$1,"да","не"))</f>
        <v/>
      </c>
      <c r="L24" s="9"/>
      <c r="M24" s="9"/>
      <c r="N24" s="9"/>
      <c r="O24" s="9"/>
      <c r="P24" s="9"/>
      <c r="Q24" s="9"/>
      <c r="R24" s="20" t="str">
        <f t="shared" si="3"/>
        <v/>
      </c>
      <c r="S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20" t="str">
        <f t="shared" si="4"/>
        <v/>
      </c>
      <c r="J25" s="20" t="str">
        <f t="shared" si="5"/>
        <v/>
      </c>
      <c r="K25" s="20" t="str">
        <f>IF(I25="","",IF(I25&lt;='Скали'!$B$1,"да","не"))</f>
        <v/>
      </c>
      <c r="L25" s="9"/>
      <c r="M25" s="9"/>
      <c r="N25" s="9"/>
      <c r="O25" s="9"/>
      <c r="P25" s="9"/>
      <c r="Q25" s="9"/>
      <c r="R25" s="20" t="str">
        <f t="shared" si="3"/>
        <v/>
      </c>
      <c r="S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20" t="str">
        <f t="shared" si="4"/>
        <v/>
      </c>
      <c r="J26" s="20" t="str">
        <f t="shared" si="5"/>
        <v/>
      </c>
      <c r="K26" s="20" t="str">
        <f>IF(I26="","",IF(I26&lt;='Скали'!$B$1,"да","не"))</f>
        <v/>
      </c>
      <c r="L26" s="9"/>
      <c r="M26" s="9"/>
      <c r="N26" s="9"/>
      <c r="O26" s="9"/>
      <c r="P26" s="9"/>
      <c r="Q26" s="9"/>
      <c r="R26" s="20" t="str">
        <f t="shared" si="3"/>
        <v/>
      </c>
      <c r="S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20" t="str">
        <f t="shared" si="4"/>
        <v/>
      </c>
      <c r="J27" s="20" t="str">
        <f t="shared" si="5"/>
        <v/>
      </c>
      <c r="K27" s="20" t="str">
        <f>IF(I27="","",IF(I27&lt;='Скали'!$B$1,"да","не"))</f>
        <v/>
      </c>
      <c r="L27" s="9"/>
      <c r="M27" s="9"/>
      <c r="N27" s="9"/>
      <c r="O27" s="9"/>
      <c r="P27" s="9"/>
      <c r="Q27" s="9"/>
      <c r="R27" s="20" t="str">
        <f t="shared" si="3"/>
        <v/>
      </c>
      <c r="S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20" t="str">
        <f t="shared" si="4"/>
        <v/>
      </c>
      <c r="J28" s="20" t="str">
        <f t="shared" si="5"/>
        <v/>
      </c>
      <c r="K28" s="20" t="str">
        <f>IF(I28="","",IF(I28&lt;='Скали'!$B$1,"да","не"))</f>
        <v/>
      </c>
      <c r="L28" s="9"/>
      <c r="M28" s="9"/>
      <c r="N28" s="9"/>
      <c r="O28" s="9"/>
      <c r="P28" s="9"/>
      <c r="Q28" s="9"/>
      <c r="R28" s="20" t="str">
        <f t="shared" si="3"/>
        <v/>
      </c>
      <c r="S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20" t="str">
        <f t="shared" si="4"/>
        <v/>
      </c>
      <c r="J29" s="20" t="str">
        <f t="shared" si="5"/>
        <v/>
      </c>
      <c r="K29" s="20" t="str">
        <f>IF(I29="","",IF(I29&lt;='Скали'!$B$1,"да","не"))</f>
        <v/>
      </c>
      <c r="L29" s="9"/>
      <c r="M29" s="9"/>
      <c r="N29" s="9"/>
      <c r="O29" s="9"/>
      <c r="P29" s="9"/>
      <c r="Q29" s="9"/>
      <c r="R29" s="20" t="str">
        <f t="shared" si="3"/>
        <v/>
      </c>
      <c r="S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20" t="str">
        <f t="shared" si="4"/>
        <v/>
      </c>
      <c r="J30" s="20" t="str">
        <f t="shared" si="5"/>
        <v/>
      </c>
      <c r="K30" s="20" t="str">
        <f>IF(I30="","",IF(I30&lt;='Скали'!$B$1,"да","не"))</f>
        <v/>
      </c>
      <c r="L30" s="9"/>
      <c r="M30" s="9"/>
      <c r="N30" s="9"/>
      <c r="O30" s="9"/>
      <c r="P30" s="9"/>
      <c r="Q30" s="9"/>
      <c r="R30" s="20" t="str">
        <f t="shared" si="3"/>
        <v/>
      </c>
      <c r="S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20" t="str">
        <f t="shared" si="4"/>
        <v/>
      </c>
      <c r="J31" s="20" t="str">
        <f t="shared" si="5"/>
        <v/>
      </c>
      <c r="K31" s="20" t="str">
        <f>IF(I31="","",IF(I31&lt;='Скали'!$B$1,"да","не"))</f>
        <v/>
      </c>
      <c r="L31" s="9"/>
      <c r="M31" s="9"/>
      <c r="N31" s="9"/>
      <c r="O31" s="9"/>
      <c r="P31" s="9"/>
      <c r="Q31" s="9"/>
      <c r="R31" s="20" t="str">
        <f t="shared" si="3"/>
        <v/>
      </c>
      <c r="S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20" t="str">
        <f t="shared" si="4"/>
        <v/>
      </c>
      <c r="J32" s="20" t="str">
        <f t="shared" si="5"/>
        <v/>
      </c>
      <c r="K32" s="20" t="str">
        <f>IF(I32="","",IF(I32&lt;='Скали'!$B$1,"да","не"))</f>
        <v/>
      </c>
      <c r="L32" s="9"/>
      <c r="M32" s="9"/>
      <c r="N32" s="9"/>
      <c r="O32" s="9"/>
      <c r="P32" s="9"/>
      <c r="Q32" s="9"/>
      <c r="R32" s="20" t="str">
        <f t="shared" si="3"/>
        <v/>
      </c>
      <c r="S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20" t="str">
        <f t="shared" si="4"/>
        <v/>
      </c>
      <c r="J33" s="20" t="str">
        <f t="shared" si="5"/>
        <v/>
      </c>
      <c r="K33" s="20" t="str">
        <f>IF(I33="","",IF(I33&lt;='Скали'!$B$1,"да","не"))</f>
        <v/>
      </c>
      <c r="L33" s="9"/>
      <c r="M33" s="9"/>
      <c r="N33" s="9"/>
      <c r="O33" s="9"/>
      <c r="P33" s="9"/>
      <c r="Q33" s="9"/>
      <c r="R33" s="20" t="str">
        <f t="shared" si="3"/>
        <v/>
      </c>
      <c r="S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20" t="str">
        <f t="shared" si="4"/>
        <v/>
      </c>
      <c r="J34" s="20" t="str">
        <f t="shared" si="5"/>
        <v/>
      </c>
      <c r="K34" s="20" t="str">
        <f>IF(I34="","",IF(I34&lt;='Скали'!$B$1,"да","не"))</f>
        <v/>
      </c>
      <c r="L34" s="9"/>
      <c r="M34" s="9"/>
      <c r="N34" s="9"/>
      <c r="O34" s="9"/>
      <c r="P34" s="9"/>
      <c r="Q34" s="9"/>
      <c r="R34" s="20" t="str">
        <f t="shared" si="3"/>
        <v/>
      </c>
      <c r="S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20" t="str">
        <f t="shared" si="4"/>
        <v/>
      </c>
      <c r="J35" s="20" t="str">
        <f t="shared" si="5"/>
        <v/>
      </c>
      <c r="K35" s="20" t="str">
        <f>IF(I35="","",IF(I35&lt;='Скали'!$B$1,"да","не"))</f>
        <v/>
      </c>
      <c r="L35" s="9"/>
      <c r="M35" s="9"/>
      <c r="N35" s="9"/>
      <c r="O35" s="9"/>
      <c r="P35" s="9"/>
      <c r="Q35" s="9"/>
      <c r="R35" s="20" t="str">
        <f t="shared" si="3"/>
        <v/>
      </c>
      <c r="S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20" t="str">
        <f t="shared" si="4"/>
        <v/>
      </c>
      <c r="J36" s="20" t="str">
        <f t="shared" si="5"/>
        <v/>
      </c>
      <c r="K36" s="20" t="str">
        <f>IF(I36="","",IF(I36&lt;='Скали'!$B$1,"да","не"))</f>
        <v/>
      </c>
      <c r="L36" s="9"/>
      <c r="M36" s="9"/>
      <c r="N36" s="9"/>
      <c r="O36" s="9"/>
      <c r="P36" s="9"/>
      <c r="Q36" s="9"/>
      <c r="R36" s="20" t="str">
        <f t="shared" si="3"/>
        <v/>
      </c>
      <c r="S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20" t="str">
        <f t="shared" si="4"/>
        <v/>
      </c>
      <c r="J37" s="20" t="str">
        <f t="shared" si="5"/>
        <v/>
      </c>
      <c r="K37" s="20" t="str">
        <f>IF(I37="","",IF(I37&lt;='Скали'!$B$1,"да","не"))</f>
        <v/>
      </c>
      <c r="L37" s="9"/>
      <c r="M37" s="9"/>
      <c r="N37" s="9"/>
      <c r="O37" s="9"/>
      <c r="P37" s="9"/>
      <c r="Q37" s="9"/>
      <c r="R37" s="20" t="str">
        <f t="shared" si="3"/>
        <v/>
      </c>
      <c r="S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20" t="str">
        <f t="shared" si="4"/>
        <v/>
      </c>
      <c r="J38" s="20" t="str">
        <f t="shared" si="5"/>
        <v/>
      </c>
      <c r="K38" s="20" t="str">
        <f>IF(I38="","",IF(I38&lt;='Скали'!$B$1,"да","не"))</f>
        <v/>
      </c>
      <c r="L38" s="9"/>
      <c r="M38" s="9"/>
      <c r="N38" s="9"/>
      <c r="O38" s="9"/>
      <c r="P38" s="9"/>
      <c r="Q38" s="9"/>
      <c r="R38" s="20" t="str">
        <f t="shared" si="3"/>
        <v/>
      </c>
      <c r="S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20" t="str">
        <f t="shared" si="4"/>
        <v/>
      </c>
      <c r="J39" s="20" t="str">
        <f t="shared" si="5"/>
        <v/>
      </c>
      <c r="K39" s="20" t="str">
        <f>IF(I39="","",IF(I39&lt;='Скали'!$B$1,"да","не"))</f>
        <v/>
      </c>
      <c r="L39" s="9"/>
      <c r="M39" s="9"/>
      <c r="N39" s="9"/>
      <c r="O39" s="9"/>
      <c r="P39" s="9"/>
      <c r="Q39" s="9"/>
      <c r="R39" s="20" t="str">
        <f t="shared" si="3"/>
        <v/>
      </c>
      <c r="S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20" t="str">
        <f t="shared" si="4"/>
        <v/>
      </c>
      <c r="J40" s="20" t="str">
        <f t="shared" si="5"/>
        <v/>
      </c>
      <c r="K40" s="20" t="str">
        <f>IF(I40="","",IF(I40&lt;='Скали'!$B$1,"да","не"))</f>
        <v/>
      </c>
      <c r="L40" s="9"/>
      <c r="M40" s="9"/>
      <c r="N40" s="9"/>
      <c r="O40" s="9"/>
      <c r="P40" s="9"/>
      <c r="Q40" s="9"/>
      <c r="R40" s="20" t="str">
        <f t="shared" si="3"/>
        <v/>
      </c>
      <c r="S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20" t="str">
        <f t="shared" si="4"/>
        <v/>
      </c>
      <c r="J41" s="20" t="str">
        <f t="shared" si="5"/>
        <v/>
      </c>
      <c r="K41" s="20" t="str">
        <f>IF(I41="","",IF(I41&lt;='Скали'!$B$1,"да","не"))</f>
        <v/>
      </c>
      <c r="L41" s="9"/>
      <c r="M41" s="9"/>
      <c r="N41" s="9"/>
      <c r="O41" s="9"/>
      <c r="P41" s="9"/>
      <c r="Q41" s="9"/>
      <c r="R41" s="20" t="str">
        <f t="shared" si="3"/>
        <v/>
      </c>
      <c r="S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20" t="str">
        <f t="shared" si="4"/>
        <v/>
      </c>
      <c r="J42" s="20" t="str">
        <f t="shared" si="5"/>
        <v/>
      </c>
      <c r="K42" s="20" t="str">
        <f>IF(I42="","",IF(I42&lt;='Скали'!$B$1,"да","не"))</f>
        <v/>
      </c>
      <c r="L42" s="9"/>
      <c r="M42" s="9"/>
      <c r="N42" s="9"/>
      <c r="O42" s="9"/>
      <c r="P42" s="9"/>
      <c r="Q42" s="9"/>
      <c r="R42" s="20" t="str">
        <f t="shared" si="3"/>
        <v/>
      </c>
      <c r="S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20" t="str">
        <f t="shared" si="4"/>
        <v/>
      </c>
      <c r="J43" s="20" t="str">
        <f t="shared" si="5"/>
        <v/>
      </c>
      <c r="K43" s="20" t="str">
        <f>IF(I43="","",IF(I43&lt;='Скали'!$B$1,"да","не"))</f>
        <v/>
      </c>
      <c r="L43" s="9"/>
      <c r="M43" s="9"/>
      <c r="N43" s="9"/>
      <c r="O43" s="9"/>
      <c r="P43" s="9"/>
      <c r="Q43" s="9"/>
      <c r="R43" s="20" t="str">
        <f t="shared" si="3"/>
        <v/>
      </c>
      <c r="S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20" t="str">
        <f t="shared" si="4"/>
        <v/>
      </c>
      <c r="J44" s="20" t="str">
        <f t="shared" si="5"/>
        <v/>
      </c>
      <c r="K44" s="20" t="str">
        <f>IF(I44="","",IF(I44&lt;='Скали'!$B$1,"да","не"))</f>
        <v/>
      </c>
      <c r="L44" s="9"/>
      <c r="M44" s="9"/>
      <c r="N44" s="9"/>
      <c r="O44" s="9"/>
      <c r="P44" s="9"/>
      <c r="Q44" s="9"/>
      <c r="R44" s="20" t="str">
        <f t="shared" si="3"/>
        <v/>
      </c>
      <c r="S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20" t="str">
        <f t="shared" si="4"/>
        <v/>
      </c>
      <c r="J45" s="20" t="str">
        <f t="shared" si="5"/>
        <v/>
      </c>
      <c r="K45" s="20" t="str">
        <f>IF(I45="","",IF(I45&lt;='Скали'!$B$1,"да","не"))</f>
        <v/>
      </c>
      <c r="L45" s="9"/>
      <c r="M45" s="9"/>
      <c r="N45" s="9"/>
      <c r="O45" s="9"/>
      <c r="P45" s="9"/>
      <c r="Q45" s="9"/>
      <c r="R45" s="20" t="str">
        <f t="shared" si="3"/>
        <v/>
      </c>
      <c r="S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20" t="str">
        <f t="shared" si="4"/>
        <v/>
      </c>
      <c r="J46" s="20" t="str">
        <f t="shared" si="5"/>
        <v/>
      </c>
      <c r="K46" s="20" t="str">
        <f>IF(I46="","",IF(I46&lt;='Скали'!$B$1,"да","не"))</f>
        <v/>
      </c>
      <c r="L46" s="9"/>
      <c r="M46" s="9"/>
      <c r="N46" s="9"/>
      <c r="O46" s="9"/>
      <c r="P46" s="9"/>
      <c r="Q46" s="9"/>
      <c r="R46" s="20" t="str">
        <f t="shared" si="3"/>
        <v/>
      </c>
      <c r="S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20" t="str">
        <f t="shared" si="4"/>
        <v/>
      </c>
      <c r="J47" s="20" t="str">
        <f t="shared" si="5"/>
        <v/>
      </c>
      <c r="K47" s="20" t="str">
        <f>IF(I47="","",IF(I47&lt;='Скали'!$B$1,"да","не"))</f>
        <v/>
      </c>
      <c r="L47" s="9"/>
      <c r="M47" s="9"/>
      <c r="N47" s="9"/>
      <c r="O47" s="9"/>
      <c r="P47" s="9"/>
      <c r="Q47" s="9"/>
      <c r="R47" s="20" t="str">
        <f t="shared" si="3"/>
        <v/>
      </c>
      <c r="S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20" t="str">
        <f t="shared" si="4"/>
        <v/>
      </c>
      <c r="J48" s="20" t="str">
        <f t="shared" si="5"/>
        <v/>
      </c>
      <c r="K48" s="20" t="str">
        <f>IF(I48="","",IF(I48&lt;='Скали'!$B$1,"да","не"))</f>
        <v/>
      </c>
      <c r="L48" s="9"/>
      <c r="M48" s="9"/>
      <c r="N48" s="9"/>
      <c r="O48" s="9"/>
      <c r="P48" s="9"/>
      <c r="Q48" s="9"/>
      <c r="R48" s="20" t="str">
        <f t="shared" si="3"/>
        <v/>
      </c>
      <c r="S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20" t="str">
        <f t="shared" si="4"/>
        <v/>
      </c>
      <c r="J49" s="20" t="str">
        <f t="shared" si="5"/>
        <v/>
      </c>
      <c r="K49" s="20" t="str">
        <f>IF(I49="","",IF(I49&lt;='Скали'!$B$1,"да","не"))</f>
        <v/>
      </c>
      <c r="L49" s="9"/>
      <c r="M49" s="9"/>
      <c r="N49" s="9"/>
      <c r="O49" s="9"/>
      <c r="P49" s="9"/>
      <c r="Q49" s="9"/>
      <c r="R49" s="20" t="str">
        <f t="shared" si="3"/>
        <v/>
      </c>
      <c r="S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20" t="str">
        <f t="shared" si="4"/>
        <v/>
      </c>
      <c r="J50" s="20" t="str">
        <f t="shared" si="5"/>
        <v/>
      </c>
      <c r="K50" s="20" t="str">
        <f>IF(I50="","",IF(I50&lt;='Скали'!$B$1,"да","не"))</f>
        <v/>
      </c>
      <c r="L50" s="9"/>
      <c r="M50" s="9"/>
      <c r="N50" s="9"/>
      <c r="O50" s="9"/>
      <c r="P50" s="9"/>
      <c r="Q50" s="9"/>
      <c r="R50" s="20" t="str">
        <f t="shared" si="3"/>
        <v/>
      </c>
      <c r="S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20" t="str">
        <f t="shared" si="4"/>
        <v/>
      </c>
      <c r="J51" s="20" t="str">
        <f t="shared" si="5"/>
        <v/>
      </c>
      <c r="K51" s="20" t="str">
        <f>IF(I51="","",IF(I51&lt;='Скали'!$B$1,"да","не"))</f>
        <v/>
      </c>
      <c r="L51" s="9"/>
      <c r="M51" s="9"/>
      <c r="N51" s="9"/>
      <c r="O51" s="9"/>
      <c r="P51" s="9"/>
      <c r="Q51" s="9"/>
      <c r="R51" s="20" t="str">
        <f t="shared" si="3"/>
        <v/>
      </c>
      <c r="S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20" t="str">
        <f t="shared" si="4"/>
        <v/>
      </c>
      <c r="J52" s="20" t="str">
        <f t="shared" si="5"/>
        <v/>
      </c>
      <c r="K52" s="20" t="str">
        <f>IF(I52="","",IF(I52&lt;='Скали'!$B$1,"да","не"))</f>
        <v/>
      </c>
      <c r="L52" s="9"/>
      <c r="M52" s="9"/>
      <c r="N52" s="9"/>
      <c r="O52" s="9"/>
      <c r="P52" s="9"/>
      <c r="Q52" s="9"/>
      <c r="R52" s="20" t="str">
        <f t="shared" si="3"/>
        <v/>
      </c>
      <c r="S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20" t="str">
        <f t="shared" si="4"/>
        <v/>
      </c>
      <c r="J53" s="20" t="str">
        <f t="shared" si="5"/>
        <v/>
      </c>
      <c r="K53" s="20" t="str">
        <f>IF(I53="","",IF(I53&lt;='Скали'!$B$1,"да","не"))</f>
        <v/>
      </c>
      <c r="L53" s="9"/>
      <c r="M53" s="9"/>
      <c r="N53" s="9"/>
      <c r="O53" s="9"/>
      <c r="P53" s="9"/>
      <c r="Q53" s="9"/>
      <c r="R53" s="20" t="str">
        <f t="shared" si="3"/>
        <v/>
      </c>
      <c r="S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20" t="str">
        <f t="shared" si="4"/>
        <v/>
      </c>
      <c r="J54" s="20" t="str">
        <f t="shared" si="5"/>
        <v/>
      </c>
      <c r="K54" s="20" t="str">
        <f>IF(I54="","",IF(I54&lt;='Скали'!$B$1,"да","не"))</f>
        <v/>
      </c>
      <c r="L54" s="9"/>
      <c r="M54" s="9"/>
      <c r="N54" s="9"/>
      <c r="O54" s="9"/>
      <c r="P54" s="9"/>
      <c r="Q54" s="9"/>
      <c r="R54" s="20" t="str">
        <f t="shared" si="3"/>
        <v/>
      </c>
      <c r="S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20" t="str">
        <f t="shared" si="4"/>
        <v/>
      </c>
      <c r="J55" s="20" t="str">
        <f t="shared" si="5"/>
        <v/>
      </c>
      <c r="K55" s="20" t="str">
        <f>IF(I55="","",IF(I55&lt;='Скали'!$B$1,"да","не"))</f>
        <v/>
      </c>
      <c r="L55" s="9"/>
      <c r="M55" s="9"/>
      <c r="N55" s="9"/>
      <c r="O55" s="9"/>
      <c r="P55" s="9"/>
      <c r="Q55" s="9"/>
      <c r="R55" s="20" t="str">
        <f t="shared" si="3"/>
        <v/>
      </c>
      <c r="S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20" t="str">
        <f t="shared" si="4"/>
        <v/>
      </c>
      <c r="J56" s="20" t="str">
        <f t="shared" si="5"/>
        <v/>
      </c>
      <c r="K56" s="20" t="str">
        <f>IF(I56="","",IF(I56&lt;='Скали'!$B$1,"да","не"))</f>
        <v/>
      </c>
      <c r="L56" s="9"/>
      <c r="M56" s="9"/>
      <c r="N56" s="9"/>
      <c r="O56" s="9"/>
      <c r="P56" s="9"/>
      <c r="Q56" s="9"/>
      <c r="R56" s="20" t="str">
        <f t="shared" si="3"/>
        <v/>
      </c>
      <c r="S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20" t="str">
        <f t="shared" si="4"/>
        <v/>
      </c>
      <c r="J57" s="20" t="str">
        <f t="shared" si="5"/>
        <v/>
      </c>
      <c r="K57" s="20" t="str">
        <f>IF(I57="","",IF(I57&lt;='Скали'!$B$1,"да","не"))</f>
        <v/>
      </c>
      <c r="L57" s="9"/>
      <c r="M57" s="9"/>
      <c r="N57" s="9"/>
      <c r="O57" s="9"/>
      <c r="P57" s="9"/>
      <c r="Q57" s="9"/>
      <c r="R57" s="20" t="str">
        <f t="shared" si="3"/>
        <v/>
      </c>
      <c r="S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20" t="str">
        <f t="shared" si="4"/>
        <v/>
      </c>
      <c r="J58" s="20" t="str">
        <f t="shared" si="5"/>
        <v/>
      </c>
      <c r="K58" s="20" t="str">
        <f>IF(I58="","",IF(I58&lt;='Скали'!$B$1,"да","не"))</f>
        <v/>
      </c>
      <c r="L58" s="9"/>
      <c r="M58" s="9"/>
      <c r="N58" s="9"/>
      <c r="O58" s="9"/>
      <c r="P58" s="9"/>
      <c r="Q58" s="9"/>
      <c r="R58" s="20" t="str">
        <f t="shared" si="3"/>
        <v/>
      </c>
      <c r="S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20" t="str">
        <f t="shared" si="4"/>
        <v/>
      </c>
      <c r="J59" s="20" t="str">
        <f t="shared" si="5"/>
        <v/>
      </c>
      <c r="K59" s="20" t="str">
        <f>IF(I59="","",IF(I59&lt;='Скали'!$B$1,"да","не"))</f>
        <v/>
      </c>
      <c r="L59" s="9"/>
      <c r="M59" s="9"/>
      <c r="N59" s="9"/>
      <c r="O59" s="9"/>
      <c r="P59" s="9"/>
      <c r="Q59" s="9"/>
      <c r="R59" s="20" t="str">
        <f t="shared" si="3"/>
        <v/>
      </c>
      <c r="S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20" t="str">
        <f t="shared" si="4"/>
        <v/>
      </c>
      <c r="J60" s="20" t="str">
        <f t="shared" si="5"/>
        <v/>
      </c>
      <c r="K60" s="20" t="str">
        <f>IF(I60="","",IF(I60&lt;='Скали'!$B$1,"да","не"))</f>
        <v/>
      </c>
      <c r="L60" s="9"/>
      <c r="M60" s="9"/>
      <c r="N60" s="9"/>
      <c r="O60" s="9"/>
      <c r="P60" s="9"/>
      <c r="Q60" s="9"/>
      <c r="R60" s="20" t="str">
        <f t="shared" si="3"/>
        <v/>
      </c>
      <c r="S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20" t="str">
        <f t="shared" si="4"/>
        <v/>
      </c>
      <c r="J61" s="20" t="str">
        <f t="shared" si="5"/>
        <v/>
      </c>
      <c r="K61" s="20" t="str">
        <f>IF(I61="","",IF(I61&lt;='Скали'!$B$1,"да","не"))</f>
        <v/>
      </c>
      <c r="L61" s="9"/>
      <c r="M61" s="9"/>
      <c r="N61" s="9"/>
      <c r="O61" s="9"/>
      <c r="P61" s="9"/>
      <c r="Q61" s="9"/>
      <c r="R61" s="20" t="str">
        <f t="shared" si="3"/>
        <v/>
      </c>
      <c r="S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20" t="str">
        <f t="shared" si="4"/>
        <v/>
      </c>
      <c r="J62" s="20" t="str">
        <f t="shared" si="5"/>
        <v/>
      </c>
      <c r="K62" s="20" t="str">
        <f>IF(I62="","",IF(I62&lt;='Скали'!$B$1,"да","не"))</f>
        <v/>
      </c>
      <c r="L62" s="9"/>
      <c r="M62" s="9"/>
      <c r="N62" s="9"/>
      <c r="O62" s="9"/>
      <c r="P62" s="9"/>
      <c r="Q62" s="9"/>
      <c r="R62" s="20" t="str">
        <f t="shared" si="3"/>
        <v/>
      </c>
      <c r="S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20" t="str">
        <f t="shared" si="4"/>
        <v/>
      </c>
      <c r="J63" s="20" t="str">
        <f t="shared" si="5"/>
        <v/>
      </c>
      <c r="K63" s="20" t="str">
        <f>IF(I63="","",IF(I63&lt;='Скали'!$B$1,"да","не"))</f>
        <v/>
      </c>
      <c r="L63" s="9"/>
      <c r="M63" s="9"/>
      <c r="N63" s="9"/>
      <c r="O63" s="9"/>
      <c r="P63" s="9"/>
      <c r="Q63" s="9"/>
      <c r="R63" s="20" t="str">
        <f t="shared" si="3"/>
        <v/>
      </c>
      <c r="S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20" t="str">
        <f t="shared" si="4"/>
        <v/>
      </c>
      <c r="J64" s="20" t="str">
        <f t="shared" si="5"/>
        <v/>
      </c>
      <c r="K64" s="20" t="str">
        <f>IF(I64="","",IF(I64&lt;='Скали'!$B$1,"да","не"))</f>
        <v/>
      </c>
      <c r="L64" s="9"/>
      <c r="M64" s="9"/>
      <c r="N64" s="9"/>
      <c r="O64" s="9"/>
      <c r="P64" s="9"/>
      <c r="Q64" s="9"/>
      <c r="R64" s="20" t="str">
        <f t="shared" si="3"/>
        <v/>
      </c>
      <c r="S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20" t="str">
        <f t="shared" si="4"/>
        <v/>
      </c>
      <c r="J65" s="20" t="str">
        <f t="shared" si="5"/>
        <v/>
      </c>
      <c r="K65" s="20" t="str">
        <f>IF(I65="","",IF(I65&lt;='Скали'!$B$1,"да","не"))</f>
        <v/>
      </c>
      <c r="L65" s="9"/>
      <c r="M65" s="9"/>
      <c r="N65" s="9"/>
      <c r="O65" s="9"/>
      <c r="P65" s="9"/>
      <c r="Q65" s="9"/>
      <c r="R65" s="20" t="str">
        <f t="shared" si="3"/>
        <v/>
      </c>
      <c r="S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20" t="str">
        <f t="shared" si="4"/>
        <v/>
      </c>
      <c r="J66" s="20" t="str">
        <f t="shared" si="5"/>
        <v/>
      </c>
      <c r="K66" s="20" t="str">
        <f>IF(I66="","",IF(I66&lt;='Скали'!$B$1,"да","не"))</f>
        <v/>
      </c>
      <c r="L66" s="9"/>
      <c r="M66" s="9"/>
      <c r="N66" s="9"/>
      <c r="O66" s="9"/>
      <c r="P66" s="9"/>
      <c r="Q66" s="9"/>
      <c r="R66" s="20" t="str">
        <f t="shared" si="3"/>
        <v/>
      </c>
      <c r="S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20" t="str">
        <f t="shared" si="4"/>
        <v/>
      </c>
      <c r="J67" s="20" t="str">
        <f t="shared" si="5"/>
        <v/>
      </c>
      <c r="K67" s="20" t="str">
        <f>IF(I67="","",IF(I67&lt;='Скали'!$B$1,"да","не"))</f>
        <v/>
      </c>
      <c r="L67" s="9"/>
      <c r="M67" s="9"/>
      <c r="N67" s="9"/>
      <c r="O67" s="9"/>
      <c r="P67" s="9"/>
      <c r="Q67" s="9"/>
      <c r="R67" s="20" t="str">
        <f t="shared" si="3"/>
        <v/>
      </c>
      <c r="S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20" t="str">
        <f t="shared" si="4"/>
        <v/>
      </c>
      <c r="J68" s="20" t="str">
        <f t="shared" si="5"/>
        <v/>
      </c>
      <c r="K68" s="20" t="str">
        <f>IF(I68="","",IF(I68&lt;='Скали'!$B$1,"да","не"))</f>
        <v/>
      </c>
      <c r="L68" s="9"/>
      <c r="M68" s="9"/>
      <c r="N68" s="9"/>
      <c r="O68" s="9"/>
      <c r="P68" s="9"/>
      <c r="Q68" s="9"/>
      <c r="R68" s="20" t="str">
        <f t="shared" si="3"/>
        <v/>
      </c>
      <c r="S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20" t="str">
        <f t="shared" si="4"/>
        <v/>
      </c>
      <c r="J69" s="20" t="str">
        <f t="shared" si="5"/>
        <v/>
      </c>
      <c r="K69" s="20" t="str">
        <f>IF(I69="","",IF(I69&lt;='Скали'!$B$1,"да","не"))</f>
        <v/>
      </c>
      <c r="L69" s="9"/>
      <c r="M69" s="9"/>
      <c r="N69" s="9"/>
      <c r="O69" s="9"/>
      <c r="P69" s="9"/>
      <c r="Q69" s="9"/>
      <c r="R69" s="20" t="str">
        <f t="shared" si="3"/>
        <v/>
      </c>
      <c r="S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20" t="str">
        <f t="shared" si="4"/>
        <v/>
      </c>
      <c r="J70" s="20" t="str">
        <f t="shared" si="5"/>
        <v/>
      </c>
      <c r="K70" s="20" t="str">
        <f>IF(I70="","",IF(I70&lt;='Скали'!$B$1,"да","не"))</f>
        <v/>
      </c>
      <c r="L70" s="9"/>
      <c r="M70" s="9"/>
      <c r="N70" s="9"/>
      <c r="O70" s="9"/>
      <c r="P70" s="9"/>
      <c r="Q70" s="9"/>
      <c r="R70" s="20" t="str">
        <f t="shared" si="3"/>
        <v/>
      </c>
      <c r="S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20" t="str">
        <f t="shared" si="4"/>
        <v/>
      </c>
      <c r="J71" s="20" t="str">
        <f t="shared" si="5"/>
        <v/>
      </c>
      <c r="K71" s="20" t="str">
        <f>IF(I71="","",IF(I71&lt;='Скали'!$B$1,"да","не"))</f>
        <v/>
      </c>
      <c r="L71" s="9"/>
      <c r="M71" s="9"/>
      <c r="N71" s="9"/>
      <c r="O71" s="9"/>
      <c r="P71" s="9"/>
      <c r="Q71" s="9"/>
      <c r="R71" s="20" t="str">
        <f t="shared" si="3"/>
        <v/>
      </c>
      <c r="S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20" t="str">
        <f t="shared" si="4"/>
        <v/>
      </c>
      <c r="J72" s="20" t="str">
        <f t="shared" si="5"/>
        <v/>
      </c>
      <c r="K72" s="20" t="str">
        <f>IF(I72="","",IF(I72&lt;='Скали'!$B$1,"да","не"))</f>
        <v/>
      </c>
      <c r="L72" s="9"/>
      <c r="M72" s="9"/>
      <c r="N72" s="9"/>
      <c r="O72" s="9"/>
      <c r="P72" s="9"/>
      <c r="Q72" s="9"/>
      <c r="R72" s="20" t="str">
        <f t="shared" si="3"/>
        <v/>
      </c>
      <c r="S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20" t="str">
        <f t="shared" si="4"/>
        <v/>
      </c>
      <c r="J73" s="20" t="str">
        <f t="shared" si="5"/>
        <v/>
      </c>
      <c r="K73" s="20" t="str">
        <f>IF(I73="","",IF(I73&lt;='Скали'!$B$1,"да","не"))</f>
        <v/>
      </c>
      <c r="L73" s="9"/>
      <c r="M73" s="9"/>
      <c r="N73" s="9"/>
      <c r="O73" s="9"/>
      <c r="P73" s="9"/>
      <c r="Q73" s="9"/>
      <c r="R73" s="20" t="str">
        <f t="shared" si="3"/>
        <v/>
      </c>
      <c r="S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20" t="str">
        <f t="shared" si="4"/>
        <v/>
      </c>
      <c r="J74" s="20" t="str">
        <f t="shared" si="5"/>
        <v/>
      </c>
      <c r="K74" s="20" t="str">
        <f>IF(I74="","",IF(I74&lt;='Скали'!$B$1,"да","не"))</f>
        <v/>
      </c>
      <c r="L74" s="9"/>
      <c r="M74" s="9"/>
      <c r="N74" s="9"/>
      <c r="O74" s="9"/>
      <c r="P74" s="9"/>
      <c r="Q74" s="9"/>
      <c r="R74" s="20" t="str">
        <f t="shared" si="3"/>
        <v/>
      </c>
      <c r="S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20" t="str">
        <f t="shared" si="4"/>
        <v/>
      </c>
      <c r="J75" s="20" t="str">
        <f t="shared" si="5"/>
        <v/>
      </c>
      <c r="K75" s="20" t="str">
        <f>IF(I75="","",IF(I75&lt;='Скали'!$B$1,"да","не"))</f>
        <v/>
      </c>
      <c r="L75" s="9"/>
      <c r="M75" s="9"/>
      <c r="N75" s="9"/>
      <c r="O75" s="9"/>
      <c r="P75" s="9"/>
      <c r="Q75" s="9"/>
      <c r="R75" s="20" t="str">
        <f t="shared" si="3"/>
        <v/>
      </c>
      <c r="S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20" t="str">
        <f t="shared" si="4"/>
        <v/>
      </c>
      <c r="J76" s="20" t="str">
        <f t="shared" si="5"/>
        <v/>
      </c>
      <c r="K76" s="20" t="str">
        <f>IF(I76="","",IF(I76&lt;='Скали'!$B$1,"да","не"))</f>
        <v/>
      </c>
      <c r="L76" s="9"/>
      <c r="M76" s="9"/>
      <c r="N76" s="9"/>
      <c r="O76" s="9"/>
      <c r="P76" s="9"/>
      <c r="Q76" s="9"/>
      <c r="R76" s="20" t="str">
        <f t="shared" si="3"/>
        <v/>
      </c>
      <c r="S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20" t="str">
        <f t="shared" si="4"/>
        <v/>
      </c>
      <c r="J77" s="20" t="str">
        <f t="shared" si="5"/>
        <v/>
      </c>
      <c r="K77" s="20" t="str">
        <f>IF(I77="","",IF(I77&lt;='Скали'!$B$1,"да","не"))</f>
        <v/>
      </c>
      <c r="L77" s="9"/>
      <c r="M77" s="9"/>
      <c r="N77" s="9"/>
      <c r="O77" s="9"/>
      <c r="P77" s="9"/>
      <c r="Q77" s="9"/>
      <c r="R77" s="20" t="str">
        <f t="shared" si="3"/>
        <v/>
      </c>
      <c r="S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20" t="str">
        <f t="shared" si="4"/>
        <v/>
      </c>
      <c r="J78" s="20" t="str">
        <f t="shared" si="5"/>
        <v/>
      </c>
      <c r="K78" s="20" t="str">
        <f>IF(I78="","",IF(I78&lt;='Скали'!$B$1,"да","не"))</f>
        <v/>
      </c>
      <c r="L78" s="9"/>
      <c r="M78" s="9"/>
      <c r="N78" s="9"/>
      <c r="O78" s="9"/>
      <c r="P78" s="9"/>
      <c r="Q78" s="9"/>
      <c r="R78" s="20" t="str">
        <f t="shared" si="3"/>
        <v/>
      </c>
      <c r="S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20" t="str">
        <f t="shared" si="4"/>
        <v/>
      </c>
      <c r="J79" s="20" t="str">
        <f t="shared" si="5"/>
        <v/>
      </c>
      <c r="K79" s="20" t="str">
        <f>IF(I79="","",IF(I79&lt;='Скали'!$B$1,"да","не"))</f>
        <v/>
      </c>
      <c r="L79" s="9"/>
      <c r="M79" s="9"/>
      <c r="N79" s="9"/>
      <c r="O79" s="9"/>
      <c r="P79" s="9"/>
      <c r="Q79" s="9"/>
      <c r="R79" s="20" t="str">
        <f t="shared" si="3"/>
        <v/>
      </c>
      <c r="S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20" t="str">
        <f t="shared" si="4"/>
        <v/>
      </c>
      <c r="J80" s="20" t="str">
        <f t="shared" si="5"/>
        <v/>
      </c>
      <c r="K80" s="20" t="str">
        <f>IF(I80="","",IF(I80&lt;='Скали'!$B$1,"да","не"))</f>
        <v/>
      </c>
      <c r="L80" s="9"/>
      <c r="M80" s="9"/>
      <c r="N80" s="9"/>
      <c r="O80" s="9"/>
      <c r="P80" s="9"/>
      <c r="Q80" s="9"/>
      <c r="R80" s="20" t="str">
        <f t="shared" si="3"/>
        <v/>
      </c>
      <c r="S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20" t="str">
        <f t="shared" si="4"/>
        <v/>
      </c>
      <c r="J81" s="20" t="str">
        <f t="shared" si="5"/>
        <v/>
      </c>
      <c r="K81" s="20" t="str">
        <f>IF(I81="","",IF(I81&lt;='Скали'!$B$1,"да","не"))</f>
        <v/>
      </c>
      <c r="L81" s="9"/>
      <c r="M81" s="9"/>
      <c r="N81" s="9"/>
      <c r="O81" s="9"/>
      <c r="P81" s="9"/>
      <c r="Q81" s="9"/>
      <c r="R81" s="20" t="str">
        <f t="shared" si="3"/>
        <v/>
      </c>
      <c r="S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20" t="str">
        <f t="shared" si="4"/>
        <v/>
      </c>
      <c r="J82" s="20" t="str">
        <f t="shared" si="5"/>
        <v/>
      </c>
      <c r="K82" s="20" t="str">
        <f>IF(I82="","",IF(I82&lt;='Скали'!$B$1,"да","не"))</f>
        <v/>
      </c>
      <c r="L82" s="9"/>
      <c r="M82" s="9"/>
      <c r="N82" s="9"/>
      <c r="O82" s="9"/>
      <c r="P82" s="9"/>
      <c r="Q82" s="9"/>
      <c r="R82" s="20" t="str">
        <f t="shared" si="3"/>
        <v/>
      </c>
      <c r="S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20" t="str">
        <f t="shared" si="4"/>
        <v/>
      </c>
      <c r="J83" s="20" t="str">
        <f t="shared" si="5"/>
        <v/>
      </c>
      <c r="K83" s="20" t="str">
        <f>IF(I83="","",IF(I83&lt;='Скали'!$B$1,"да","не"))</f>
        <v/>
      </c>
      <c r="L83" s="9"/>
      <c r="M83" s="9"/>
      <c r="N83" s="9"/>
      <c r="O83" s="9"/>
      <c r="P83" s="9"/>
      <c r="Q83" s="9"/>
      <c r="R83" s="20" t="str">
        <f t="shared" si="3"/>
        <v/>
      </c>
      <c r="S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20" t="str">
        <f t="shared" si="4"/>
        <v/>
      </c>
      <c r="J84" s="20" t="str">
        <f t="shared" si="5"/>
        <v/>
      </c>
      <c r="K84" s="20" t="str">
        <f>IF(I84="","",IF(I84&lt;='Скали'!$B$1,"да","не"))</f>
        <v/>
      </c>
      <c r="L84" s="9"/>
      <c r="M84" s="9"/>
      <c r="N84" s="9"/>
      <c r="O84" s="9"/>
      <c r="P84" s="9"/>
      <c r="Q84" s="9"/>
      <c r="R84" s="20" t="str">
        <f t="shared" si="3"/>
        <v/>
      </c>
      <c r="S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20" t="str">
        <f t="shared" si="4"/>
        <v/>
      </c>
      <c r="J85" s="20" t="str">
        <f t="shared" si="5"/>
        <v/>
      </c>
      <c r="K85" s="20" t="str">
        <f>IF(I85="","",IF(I85&lt;='Скали'!$B$1,"да","не"))</f>
        <v/>
      </c>
      <c r="L85" s="9"/>
      <c r="M85" s="9"/>
      <c r="N85" s="9"/>
      <c r="O85" s="9"/>
      <c r="P85" s="9"/>
      <c r="Q85" s="9"/>
      <c r="R85" s="20" t="str">
        <f t="shared" si="3"/>
        <v/>
      </c>
      <c r="S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20" t="str">
        <f t="shared" si="4"/>
        <v/>
      </c>
      <c r="J86" s="20" t="str">
        <f t="shared" si="5"/>
        <v/>
      </c>
      <c r="K86" s="20" t="str">
        <f>IF(I86="","",IF(I86&lt;='Скали'!$B$1,"да","не"))</f>
        <v/>
      </c>
      <c r="L86" s="9"/>
      <c r="M86" s="9"/>
      <c r="N86" s="9"/>
      <c r="O86" s="9"/>
      <c r="P86" s="9"/>
      <c r="Q86" s="9"/>
      <c r="R86" s="20" t="str">
        <f t="shared" si="3"/>
        <v/>
      </c>
      <c r="S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20" t="str">
        <f t="shared" si="4"/>
        <v/>
      </c>
      <c r="J87" s="20" t="str">
        <f t="shared" si="5"/>
        <v/>
      </c>
      <c r="K87" s="20" t="str">
        <f>IF(I87="","",IF(I87&lt;='Скали'!$B$1,"да","не"))</f>
        <v/>
      </c>
      <c r="L87" s="9"/>
      <c r="M87" s="9"/>
      <c r="N87" s="9"/>
      <c r="O87" s="9"/>
      <c r="P87" s="9"/>
      <c r="Q87" s="9"/>
      <c r="R87" s="20" t="str">
        <f t="shared" si="3"/>
        <v/>
      </c>
      <c r="S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20" t="str">
        <f t="shared" si="4"/>
        <v/>
      </c>
      <c r="J88" s="20" t="str">
        <f t="shared" si="5"/>
        <v/>
      </c>
      <c r="K88" s="20" t="str">
        <f>IF(I88="","",IF(I88&lt;='Скали'!$B$1,"да","не"))</f>
        <v/>
      </c>
      <c r="L88" s="9"/>
      <c r="M88" s="9"/>
      <c r="N88" s="9"/>
      <c r="O88" s="9"/>
      <c r="P88" s="9"/>
      <c r="Q88" s="9"/>
      <c r="R88" s="20" t="str">
        <f t="shared" si="3"/>
        <v/>
      </c>
      <c r="S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20" t="str">
        <f t="shared" si="4"/>
        <v/>
      </c>
      <c r="J89" s="20" t="str">
        <f t="shared" si="5"/>
        <v/>
      </c>
      <c r="K89" s="20" t="str">
        <f>IF(I89="","",IF(I89&lt;='Скали'!$B$1,"да","не"))</f>
        <v/>
      </c>
      <c r="L89" s="9"/>
      <c r="M89" s="9"/>
      <c r="N89" s="9"/>
      <c r="O89" s="9"/>
      <c r="P89" s="9"/>
      <c r="Q89" s="9"/>
      <c r="R89" s="20" t="str">
        <f t="shared" si="3"/>
        <v/>
      </c>
      <c r="S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20" t="str">
        <f t="shared" si="4"/>
        <v/>
      </c>
      <c r="J90" s="20" t="str">
        <f t="shared" si="5"/>
        <v/>
      </c>
      <c r="K90" s="20" t="str">
        <f>IF(I90="","",IF(I90&lt;='Скали'!$B$1,"да","не"))</f>
        <v/>
      </c>
      <c r="L90" s="9"/>
      <c r="M90" s="9"/>
      <c r="N90" s="9"/>
      <c r="O90" s="9"/>
      <c r="P90" s="9"/>
      <c r="Q90" s="9"/>
      <c r="R90" s="20" t="str">
        <f t="shared" si="3"/>
        <v/>
      </c>
      <c r="S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20" t="str">
        <f t="shared" si="4"/>
        <v/>
      </c>
      <c r="J91" s="20" t="str">
        <f t="shared" si="5"/>
        <v/>
      </c>
      <c r="K91" s="20" t="str">
        <f>IF(I91="","",IF(I91&lt;='Скали'!$B$1,"да","не"))</f>
        <v/>
      </c>
      <c r="L91" s="9"/>
      <c r="M91" s="9"/>
      <c r="N91" s="9"/>
      <c r="O91" s="9"/>
      <c r="P91" s="9"/>
      <c r="Q91" s="9"/>
      <c r="R91" s="20" t="str">
        <f t="shared" si="3"/>
        <v/>
      </c>
      <c r="S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20" t="str">
        <f t="shared" si="4"/>
        <v/>
      </c>
      <c r="J92" s="20" t="str">
        <f t="shared" si="5"/>
        <v/>
      </c>
      <c r="K92" s="20" t="str">
        <f>IF(I92="","",IF(I92&lt;='Скали'!$B$1,"да","не"))</f>
        <v/>
      </c>
      <c r="L92" s="9"/>
      <c r="M92" s="9"/>
      <c r="N92" s="9"/>
      <c r="O92" s="9"/>
      <c r="P92" s="9"/>
      <c r="Q92" s="9"/>
      <c r="R92" s="20" t="str">
        <f t="shared" si="3"/>
        <v/>
      </c>
      <c r="S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20" t="str">
        <f t="shared" si="4"/>
        <v/>
      </c>
      <c r="J93" s="20" t="str">
        <f t="shared" si="5"/>
        <v/>
      </c>
      <c r="K93" s="20" t="str">
        <f>IF(I93="","",IF(I93&lt;='Скали'!$B$1,"да","не"))</f>
        <v/>
      </c>
      <c r="L93" s="9"/>
      <c r="M93" s="9"/>
      <c r="N93" s="9"/>
      <c r="O93" s="9"/>
      <c r="P93" s="9"/>
      <c r="Q93" s="9"/>
      <c r="R93" s="20" t="str">
        <f t="shared" si="3"/>
        <v/>
      </c>
      <c r="S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20" t="str">
        <f t="shared" si="4"/>
        <v/>
      </c>
      <c r="J94" s="20" t="str">
        <f t="shared" si="5"/>
        <v/>
      </c>
      <c r="K94" s="20" t="str">
        <f>IF(I94="","",IF(I94&lt;='Скали'!$B$1,"да","не"))</f>
        <v/>
      </c>
      <c r="L94" s="9"/>
      <c r="M94" s="9"/>
      <c r="N94" s="9"/>
      <c r="O94" s="9"/>
      <c r="P94" s="9"/>
      <c r="Q94" s="9"/>
      <c r="R94" s="20" t="str">
        <f t="shared" si="3"/>
        <v/>
      </c>
      <c r="S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20" t="str">
        <f t="shared" si="4"/>
        <v/>
      </c>
      <c r="J95" s="20" t="str">
        <f t="shared" si="5"/>
        <v/>
      </c>
      <c r="K95" s="20" t="str">
        <f>IF(I95="","",IF(I95&lt;='Скали'!$B$1,"да","не"))</f>
        <v/>
      </c>
      <c r="L95" s="9"/>
      <c r="M95" s="9"/>
      <c r="N95" s="9"/>
      <c r="O95" s="9"/>
      <c r="P95" s="9"/>
      <c r="Q95" s="9"/>
      <c r="R95" s="20" t="str">
        <f t="shared" si="3"/>
        <v/>
      </c>
      <c r="S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20" t="str">
        <f t="shared" si="4"/>
        <v/>
      </c>
      <c r="J96" s="20" t="str">
        <f t="shared" si="5"/>
        <v/>
      </c>
      <c r="K96" s="20" t="str">
        <f>IF(I96="","",IF(I96&lt;='Скали'!$B$1,"да","не"))</f>
        <v/>
      </c>
      <c r="L96" s="9"/>
      <c r="M96" s="9"/>
      <c r="N96" s="9"/>
      <c r="O96" s="9"/>
      <c r="P96" s="9"/>
      <c r="Q96" s="9"/>
      <c r="R96" s="20" t="str">
        <f t="shared" si="3"/>
        <v/>
      </c>
      <c r="S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20" t="str">
        <f t="shared" si="4"/>
        <v/>
      </c>
      <c r="J97" s="20" t="str">
        <f t="shared" si="5"/>
        <v/>
      </c>
      <c r="K97" s="20" t="str">
        <f>IF(I97="","",IF(I97&lt;='Скали'!$B$1,"да","не"))</f>
        <v/>
      </c>
      <c r="L97" s="9"/>
      <c r="M97" s="9"/>
      <c r="N97" s="9"/>
      <c r="O97" s="9"/>
      <c r="P97" s="9"/>
      <c r="Q97" s="9"/>
      <c r="R97" s="20" t="str">
        <f t="shared" si="3"/>
        <v/>
      </c>
      <c r="S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20" t="str">
        <f t="shared" si="4"/>
        <v/>
      </c>
      <c r="J98" s="20" t="str">
        <f t="shared" si="5"/>
        <v/>
      </c>
      <c r="K98" s="20" t="str">
        <f>IF(I98="","",IF(I98&lt;='Скали'!$B$1,"да","не"))</f>
        <v/>
      </c>
      <c r="L98" s="9"/>
      <c r="M98" s="9"/>
      <c r="N98" s="9"/>
      <c r="O98" s="9"/>
      <c r="P98" s="9"/>
      <c r="Q98" s="9"/>
      <c r="R98" s="20" t="str">
        <f t="shared" si="3"/>
        <v/>
      </c>
      <c r="S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20" t="str">
        <f t="shared" si="4"/>
        <v/>
      </c>
      <c r="J99" s="20" t="str">
        <f t="shared" si="5"/>
        <v/>
      </c>
      <c r="K99" s="20" t="str">
        <f>IF(I99="","",IF(I99&lt;='Скали'!$B$1,"да","не"))</f>
        <v/>
      </c>
      <c r="L99" s="9"/>
      <c r="M99" s="9"/>
      <c r="N99" s="9"/>
      <c r="O99" s="9"/>
      <c r="P99" s="9"/>
      <c r="Q99" s="9"/>
      <c r="R99" s="20" t="str">
        <f t="shared" si="3"/>
        <v/>
      </c>
      <c r="S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20" t="str">
        <f t="shared" si="4"/>
        <v/>
      </c>
      <c r="J100" s="20" t="str">
        <f t="shared" si="5"/>
        <v/>
      </c>
      <c r="K100" s="20" t="str">
        <f>IF(I100="","",IF(I100&lt;='Скали'!$B$1,"да","не"))</f>
        <v/>
      </c>
      <c r="L100" s="9"/>
      <c r="M100" s="9"/>
      <c r="N100" s="9"/>
      <c r="O100" s="9"/>
      <c r="P100" s="9"/>
      <c r="Q100" s="9"/>
      <c r="R100" s="20" t="str">
        <f t="shared" si="3"/>
        <v/>
      </c>
      <c r="S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20" t="str">
        <f t="shared" si="4"/>
        <v/>
      </c>
      <c r="J101" s="20" t="str">
        <f t="shared" si="5"/>
        <v/>
      </c>
      <c r="K101" s="20" t="str">
        <f>IF(I101="","",IF(I101&lt;='Скали'!$B$1,"да","не"))</f>
        <v/>
      </c>
      <c r="L101" s="9"/>
      <c r="M101" s="9"/>
      <c r="N101" s="9"/>
      <c r="O101" s="9"/>
      <c r="P101" s="9"/>
      <c r="Q101" s="9"/>
      <c r="R101" s="20" t="str">
        <f t="shared" si="3"/>
        <v/>
      </c>
      <c r="S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20" t="str">
        <f t="shared" si="4"/>
        <v/>
      </c>
      <c r="J102" s="20" t="str">
        <f t="shared" si="5"/>
        <v/>
      </c>
      <c r="K102" s="20" t="str">
        <f>IF(I102="","",IF(I102&lt;='Скали'!$B$1,"да","не"))</f>
        <v/>
      </c>
      <c r="L102" s="9"/>
      <c r="M102" s="9"/>
      <c r="N102" s="9"/>
      <c r="O102" s="9"/>
      <c r="P102" s="9"/>
      <c r="Q102" s="9"/>
      <c r="R102" s="20" t="str">
        <f t="shared" si="3"/>
        <v/>
      </c>
      <c r="S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20" t="str">
        <f t="shared" si="4"/>
        <v/>
      </c>
      <c r="J103" s="20" t="str">
        <f t="shared" si="5"/>
        <v/>
      </c>
      <c r="K103" s="20" t="str">
        <f>IF(I103="","",IF(I103&lt;='Скали'!$B$1,"да","не"))</f>
        <v/>
      </c>
      <c r="L103" s="9"/>
      <c r="M103" s="9"/>
      <c r="N103" s="9"/>
      <c r="O103" s="9"/>
      <c r="P103" s="9"/>
      <c r="Q103" s="9"/>
      <c r="R103" s="20" t="str">
        <f t="shared" si="3"/>
        <v/>
      </c>
      <c r="S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20" t="str">
        <f t="shared" si="4"/>
        <v/>
      </c>
      <c r="J104" s="20" t="str">
        <f t="shared" si="5"/>
        <v/>
      </c>
      <c r="K104" s="20" t="str">
        <f>IF(I104="","",IF(I104&lt;='Скали'!$B$1,"да","не"))</f>
        <v/>
      </c>
      <c r="L104" s="9"/>
      <c r="M104" s="9"/>
      <c r="N104" s="9"/>
      <c r="O104" s="9"/>
      <c r="P104" s="9"/>
      <c r="Q104" s="9"/>
      <c r="R104" s="20" t="str">
        <f t="shared" si="3"/>
        <v/>
      </c>
      <c r="S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20" t="str">
        <f t="shared" si="4"/>
        <v/>
      </c>
      <c r="J105" s="20" t="str">
        <f t="shared" si="5"/>
        <v/>
      </c>
      <c r="K105" s="20" t="str">
        <f>IF(I105="","",IF(I105&lt;='Скали'!$B$1,"да","не"))</f>
        <v/>
      </c>
      <c r="L105" s="9"/>
      <c r="M105" s="9"/>
      <c r="N105" s="9"/>
      <c r="O105" s="9"/>
      <c r="P105" s="9"/>
      <c r="Q105" s="9"/>
      <c r="R105" s="20" t="str">
        <f t="shared" si="3"/>
        <v/>
      </c>
      <c r="S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20" t="str">
        <f t="shared" si="4"/>
        <v/>
      </c>
      <c r="J106" s="20" t="str">
        <f t="shared" si="5"/>
        <v/>
      </c>
      <c r="K106" s="20" t="str">
        <f>IF(I106="","",IF(I106&lt;='Скали'!$B$1,"да","не"))</f>
        <v/>
      </c>
      <c r="L106" s="9"/>
      <c r="M106" s="9"/>
      <c r="N106" s="9"/>
      <c r="O106" s="9"/>
      <c r="P106" s="9"/>
      <c r="Q106" s="9"/>
      <c r="R106" s="20" t="str">
        <f t="shared" si="3"/>
        <v/>
      </c>
      <c r="S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20" t="str">
        <f t="shared" si="4"/>
        <v/>
      </c>
      <c r="J107" s="20" t="str">
        <f t="shared" si="5"/>
        <v/>
      </c>
      <c r="K107" s="20" t="str">
        <f>IF(I107="","",IF(I107&lt;='Скали'!$B$1,"да","не"))</f>
        <v/>
      </c>
      <c r="L107" s="9"/>
      <c r="M107" s="9"/>
      <c r="N107" s="9"/>
      <c r="O107" s="9"/>
      <c r="P107" s="9"/>
      <c r="Q107" s="9"/>
      <c r="R107" s="20" t="str">
        <f t="shared" si="3"/>
        <v/>
      </c>
      <c r="S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20" t="str">
        <f t="shared" si="4"/>
        <v/>
      </c>
      <c r="J108" s="20" t="str">
        <f t="shared" si="5"/>
        <v/>
      </c>
      <c r="K108" s="20" t="str">
        <f>IF(I108="","",IF(I108&lt;='Скали'!$B$1,"да","не"))</f>
        <v/>
      </c>
      <c r="L108" s="9"/>
      <c r="M108" s="9"/>
      <c r="N108" s="9"/>
      <c r="O108" s="9"/>
      <c r="P108" s="9"/>
      <c r="Q108" s="9"/>
      <c r="R108" s="20" t="str">
        <f t="shared" si="3"/>
        <v/>
      </c>
      <c r="S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20" t="str">
        <f t="shared" si="4"/>
        <v/>
      </c>
      <c r="J109" s="20" t="str">
        <f t="shared" si="5"/>
        <v/>
      </c>
      <c r="K109" s="20" t="str">
        <f>IF(I109="","",IF(I109&lt;='Скали'!$B$1,"да","не"))</f>
        <v/>
      </c>
      <c r="L109" s="9"/>
      <c r="M109" s="9"/>
      <c r="N109" s="9"/>
      <c r="O109" s="9"/>
      <c r="P109" s="9"/>
      <c r="Q109" s="9"/>
      <c r="R109" s="20" t="str">
        <f t="shared" si="3"/>
        <v/>
      </c>
      <c r="S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20" t="str">
        <f t="shared" si="4"/>
        <v/>
      </c>
      <c r="J110" s="20" t="str">
        <f t="shared" si="5"/>
        <v/>
      </c>
      <c r="K110" s="20" t="str">
        <f>IF(I110="","",IF(I110&lt;='Скали'!$B$1,"да","не"))</f>
        <v/>
      </c>
      <c r="L110" s="9"/>
      <c r="M110" s="9"/>
      <c r="N110" s="9"/>
      <c r="O110" s="9"/>
      <c r="P110" s="9"/>
      <c r="Q110" s="9"/>
      <c r="R110" s="20" t="str">
        <f t="shared" si="3"/>
        <v/>
      </c>
      <c r="S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20" t="str">
        <f t="shared" si="4"/>
        <v/>
      </c>
      <c r="J111" s="20" t="str">
        <f t="shared" si="5"/>
        <v/>
      </c>
      <c r="K111" s="20" t="str">
        <f>IF(I111="","",IF(I111&lt;='Скали'!$B$1,"да","не"))</f>
        <v/>
      </c>
      <c r="L111" s="9"/>
      <c r="M111" s="9"/>
      <c r="N111" s="9"/>
      <c r="O111" s="9"/>
      <c r="P111" s="9"/>
      <c r="Q111" s="9"/>
      <c r="R111" s="20" t="str">
        <f t="shared" si="3"/>
        <v/>
      </c>
      <c r="S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20" t="str">
        <f t="shared" si="4"/>
        <v/>
      </c>
      <c r="J112" s="20" t="str">
        <f t="shared" si="5"/>
        <v/>
      </c>
      <c r="K112" s="20" t="str">
        <f>IF(I112="","",IF(I112&lt;='Скали'!$B$1,"да","не"))</f>
        <v/>
      </c>
      <c r="L112" s="9"/>
      <c r="M112" s="9"/>
      <c r="N112" s="9"/>
      <c r="O112" s="9"/>
      <c r="P112" s="9"/>
      <c r="Q112" s="9"/>
      <c r="R112" s="20" t="str">
        <f t="shared" si="3"/>
        <v/>
      </c>
      <c r="S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20" t="str">
        <f t="shared" si="4"/>
        <v/>
      </c>
      <c r="J113" s="20" t="str">
        <f t="shared" si="5"/>
        <v/>
      </c>
      <c r="K113" s="20" t="str">
        <f>IF(I113="","",IF(I113&lt;='Скали'!$B$1,"да","не"))</f>
        <v/>
      </c>
      <c r="L113" s="9"/>
      <c r="M113" s="9"/>
      <c r="N113" s="9"/>
      <c r="O113" s="9"/>
      <c r="P113" s="9"/>
      <c r="Q113" s="9"/>
      <c r="R113" s="20" t="str">
        <f t="shared" si="3"/>
        <v/>
      </c>
      <c r="S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20" t="str">
        <f t="shared" si="4"/>
        <v/>
      </c>
      <c r="J114" s="20" t="str">
        <f t="shared" si="5"/>
        <v/>
      </c>
      <c r="K114" s="20" t="str">
        <f>IF(I114="","",IF(I114&lt;='Скали'!$B$1,"да","не"))</f>
        <v/>
      </c>
      <c r="L114" s="9"/>
      <c r="M114" s="9"/>
      <c r="N114" s="9"/>
      <c r="O114" s="9"/>
      <c r="P114" s="9"/>
      <c r="Q114" s="9"/>
      <c r="R114" s="20" t="str">
        <f t="shared" si="3"/>
        <v/>
      </c>
      <c r="S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20" t="str">
        <f t="shared" si="4"/>
        <v/>
      </c>
      <c r="J115" s="20" t="str">
        <f t="shared" si="5"/>
        <v/>
      </c>
      <c r="K115" s="20" t="str">
        <f>IF(I115="","",IF(I115&lt;='Скали'!$B$1,"да","не"))</f>
        <v/>
      </c>
      <c r="L115" s="9"/>
      <c r="M115" s="9"/>
      <c r="N115" s="9"/>
      <c r="O115" s="9"/>
      <c r="P115" s="9"/>
      <c r="Q115" s="9"/>
      <c r="R115" s="20" t="str">
        <f t="shared" si="3"/>
        <v/>
      </c>
      <c r="S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20" t="str">
        <f t="shared" si="4"/>
        <v/>
      </c>
      <c r="J116" s="20" t="str">
        <f t="shared" si="5"/>
        <v/>
      </c>
      <c r="K116" s="20" t="str">
        <f>IF(I116="","",IF(I116&lt;='Скали'!$B$1,"да","не"))</f>
        <v/>
      </c>
      <c r="L116" s="9"/>
      <c r="M116" s="9"/>
      <c r="N116" s="9"/>
      <c r="O116" s="9"/>
      <c r="P116" s="9"/>
      <c r="Q116" s="9"/>
      <c r="R116" s="20" t="str">
        <f t="shared" si="3"/>
        <v/>
      </c>
      <c r="S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20" t="str">
        <f t="shared" si="4"/>
        <v/>
      </c>
      <c r="J117" s="20" t="str">
        <f t="shared" si="5"/>
        <v/>
      </c>
      <c r="K117" s="20" t="str">
        <f>IF(I117="","",IF(I117&lt;='Скали'!$B$1,"да","не"))</f>
        <v/>
      </c>
      <c r="L117" s="9"/>
      <c r="M117" s="9"/>
      <c r="N117" s="9"/>
      <c r="O117" s="9"/>
      <c r="P117" s="9"/>
      <c r="Q117" s="9"/>
      <c r="R117" s="20" t="str">
        <f t="shared" si="3"/>
        <v/>
      </c>
      <c r="S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20" t="str">
        <f t="shared" si="4"/>
        <v/>
      </c>
      <c r="J118" s="20" t="str">
        <f t="shared" si="5"/>
        <v/>
      </c>
      <c r="K118" s="20" t="str">
        <f>IF(I118="","",IF(I118&lt;='Скали'!$B$1,"да","не"))</f>
        <v/>
      </c>
      <c r="L118" s="9"/>
      <c r="M118" s="9"/>
      <c r="N118" s="9"/>
      <c r="O118" s="9"/>
      <c r="P118" s="9"/>
      <c r="Q118" s="9"/>
      <c r="R118" s="20" t="str">
        <f t="shared" si="3"/>
        <v/>
      </c>
      <c r="S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20" t="str">
        <f t="shared" si="4"/>
        <v/>
      </c>
      <c r="J119" s="20" t="str">
        <f t="shared" si="5"/>
        <v/>
      </c>
      <c r="K119" s="20" t="str">
        <f>IF(I119="","",IF(I119&lt;='Скали'!$B$1,"да","не"))</f>
        <v/>
      </c>
      <c r="L119" s="9"/>
      <c r="M119" s="9"/>
      <c r="N119" s="9"/>
      <c r="O119" s="9"/>
      <c r="P119" s="9"/>
      <c r="Q119" s="9"/>
      <c r="R119" s="20" t="str">
        <f t="shared" si="3"/>
        <v/>
      </c>
      <c r="S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20" t="str">
        <f t="shared" si="4"/>
        <v/>
      </c>
      <c r="J120" s="20" t="str">
        <f t="shared" si="5"/>
        <v/>
      </c>
      <c r="K120" s="20" t="str">
        <f>IF(I120="","",IF(I120&lt;='Скали'!$B$1,"да","не"))</f>
        <v/>
      </c>
      <c r="L120" s="9"/>
      <c r="M120" s="9"/>
      <c r="N120" s="9"/>
      <c r="O120" s="9"/>
      <c r="P120" s="9"/>
      <c r="Q120" s="9"/>
      <c r="R120" s="20" t="str">
        <f t="shared" si="3"/>
        <v/>
      </c>
      <c r="S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20" t="str">
        <f t="shared" si="4"/>
        <v/>
      </c>
      <c r="J121" s="20" t="str">
        <f t="shared" si="5"/>
        <v/>
      </c>
      <c r="K121" s="20" t="str">
        <f>IF(I121="","",IF(I121&lt;='Скали'!$B$1,"да","не"))</f>
        <v/>
      </c>
      <c r="L121" s="9"/>
      <c r="M121" s="9"/>
      <c r="N121" s="9"/>
      <c r="O121" s="9"/>
      <c r="P121" s="9"/>
      <c r="Q121" s="9"/>
      <c r="R121" s="20" t="str">
        <f t="shared" si="3"/>
        <v/>
      </c>
      <c r="S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20" t="str">
        <f t="shared" si="4"/>
        <v/>
      </c>
      <c r="J122" s="20" t="str">
        <f t="shared" si="5"/>
        <v/>
      </c>
      <c r="K122" s="20" t="str">
        <f>IF(I122="","",IF(I122&lt;='Скали'!$B$1,"да","не"))</f>
        <v/>
      </c>
      <c r="L122" s="9"/>
      <c r="M122" s="9"/>
      <c r="N122" s="9"/>
      <c r="O122" s="9"/>
      <c r="P122" s="9"/>
      <c r="Q122" s="9"/>
      <c r="R122" s="20" t="str">
        <f t="shared" si="3"/>
        <v/>
      </c>
      <c r="S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20" t="str">
        <f t="shared" si="4"/>
        <v/>
      </c>
      <c r="J123" s="20" t="str">
        <f t="shared" si="5"/>
        <v/>
      </c>
      <c r="K123" s="20" t="str">
        <f>IF(I123="","",IF(I123&lt;='Скали'!$B$1,"да","не"))</f>
        <v/>
      </c>
      <c r="L123" s="9"/>
      <c r="M123" s="9"/>
      <c r="N123" s="9"/>
      <c r="O123" s="9"/>
      <c r="P123" s="9"/>
      <c r="Q123" s="9"/>
      <c r="R123" s="20" t="str">
        <f t="shared" si="3"/>
        <v/>
      </c>
      <c r="S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20" t="str">
        <f t="shared" si="4"/>
        <v/>
      </c>
      <c r="J124" s="20" t="str">
        <f t="shared" si="5"/>
        <v/>
      </c>
      <c r="K124" s="20" t="str">
        <f>IF(I124="","",IF(I124&lt;='Скали'!$B$1,"да","не"))</f>
        <v/>
      </c>
      <c r="L124" s="9"/>
      <c r="M124" s="9"/>
      <c r="N124" s="9"/>
      <c r="O124" s="9"/>
      <c r="P124" s="9"/>
      <c r="Q124" s="9"/>
      <c r="R124" s="20" t="str">
        <f t="shared" si="3"/>
        <v/>
      </c>
      <c r="S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20" t="str">
        <f t="shared" si="4"/>
        <v/>
      </c>
      <c r="J125" s="20" t="str">
        <f t="shared" si="5"/>
        <v/>
      </c>
      <c r="K125" s="20" t="str">
        <f>IF(I125="","",IF(I125&lt;='Скали'!$B$1,"да","не"))</f>
        <v/>
      </c>
      <c r="L125" s="9"/>
      <c r="M125" s="9"/>
      <c r="N125" s="9"/>
      <c r="O125" s="9"/>
      <c r="P125" s="9"/>
      <c r="Q125" s="9"/>
      <c r="R125" s="20" t="str">
        <f t="shared" si="3"/>
        <v/>
      </c>
      <c r="S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20" t="str">
        <f t="shared" si="4"/>
        <v/>
      </c>
      <c r="J126" s="20" t="str">
        <f t="shared" si="5"/>
        <v/>
      </c>
      <c r="K126" s="20" t="str">
        <f>IF(I126="","",IF(I126&lt;='Скали'!$B$1,"да","не"))</f>
        <v/>
      </c>
      <c r="L126" s="9"/>
      <c r="M126" s="9"/>
      <c r="N126" s="9"/>
      <c r="O126" s="9"/>
      <c r="P126" s="9"/>
      <c r="Q126" s="9"/>
      <c r="R126" s="20" t="str">
        <f t="shared" si="3"/>
        <v/>
      </c>
      <c r="S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20" t="str">
        <f t="shared" si="4"/>
        <v/>
      </c>
      <c r="J127" s="20" t="str">
        <f t="shared" si="5"/>
        <v/>
      </c>
      <c r="K127" s="20" t="str">
        <f>IF(I127="","",IF(I127&lt;='Скали'!$B$1,"да","не"))</f>
        <v/>
      </c>
      <c r="L127" s="9"/>
      <c r="M127" s="9"/>
      <c r="N127" s="9"/>
      <c r="O127" s="9"/>
      <c r="P127" s="9"/>
      <c r="Q127" s="9"/>
      <c r="R127" s="20" t="str">
        <f t="shared" si="3"/>
        <v/>
      </c>
      <c r="S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20" t="str">
        <f t="shared" si="4"/>
        <v/>
      </c>
      <c r="J128" s="20" t="str">
        <f t="shared" si="5"/>
        <v/>
      </c>
      <c r="K128" s="20" t="str">
        <f>IF(I128="","",IF(I128&lt;='Скали'!$B$1,"да","не"))</f>
        <v/>
      </c>
      <c r="L128" s="9"/>
      <c r="M128" s="9"/>
      <c r="N128" s="9"/>
      <c r="O128" s="9"/>
      <c r="P128" s="9"/>
      <c r="Q128" s="9"/>
      <c r="R128" s="20" t="str">
        <f t="shared" si="3"/>
        <v/>
      </c>
      <c r="S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20" t="str">
        <f t="shared" si="4"/>
        <v/>
      </c>
      <c r="J129" s="20" t="str">
        <f t="shared" si="5"/>
        <v/>
      </c>
      <c r="K129" s="20" t="str">
        <f>IF(I129="","",IF(I129&lt;='Скали'!$B$1,"да","не"))</f>
        <v/>
      </c>
      <c r="L129" s="9"/>
      <c r="M129" s="9"/>
      <c r="N129" s="9"/>
      <c r="O129" s="9"/>
      <c r="P129" s="9"/>
      <c r="Q129" s="9"/>
      <c r="R129" s="20" t="str">
        <f t="shared" si="3"/>
        <v/>
      </c>
      <c r="S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20" t="str">
        <f t="shared" si="4"/>
        <v/>
      </c>
      <c r="J130" s="20" t="str">
        <f t="shared" si="5"/>
        <v/>
      </c>
      <c r="K130" s="20" t="str">
        <f>IF(I130="","",IF(I130&lt;='Скали'!$B$1,"да","не"))</f>
        <v/>
      </c>
      <c r="L130" s="9"/>
      <c r="M130" s="9"/>
      <c r="N130" s="9"/>
      <c r="O130" s="9"/>
      <c r="P130" s="9"/>
      <c r="Q130" s="9"/>
      <c r="R130" s="20" t="str">
        <f t="shared" si="3"/>
        <v/>
      </c>
      <c r="S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20" t="str">
        <f t="shared" si="4"/>
        <v/>
      </c>
      <c r="J131" s="20" t="str">
        <f t="shared" si="5"/>
        <v/>
      </c>
      <c r="K131" s="20" t="str">
        <f>IF(I131="","",IF(I131&lt;='Скали'!$B$1,"да","не"))</f>
        <v/>
      </c>
      <c r="L131" s="9"/>
      <c r="M131" s="9"/>
      <c r="N131" s="9"/>
      <c r="O131" s="9"/>
      <c r="P131" s="9"/>
      <c r="Q131" s="9"/>
      <c r="R131" s="20" t="str">
        <f t="shared" si="3"/>
        <v/>
      </c>
      <c r="S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20" t="str">
        <f t="shared" si="4"/>
        <v/>
      </c>
      <c r="J132" s="20" t="str">
        <f t="shared" si="5"/>
        <v/>
      </c>
      <c r="K132" s="20" t="str">
        <f>IF(I132="","",IF(I132&lt;='Скали'!$B$1,"да","не"))</f>
        <v/>
      </c>
      <c r="L132" s="9"/>
      <c r="M132" s="9"/>
      <c r="N132" s="9"/>
      <c r="O132" s="9"/>
      <c r="P132" s="9"/>
      <c r="Q132" s="9"/>
      <c r="R132" s="20" t="str">
        <f t="shared" si="3"/>
        <v/>
      </c>
      <c r="S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20" t="str">
        <f t="shared" si="4"/>
        <v/>
      </c>
      <c r="J133" s="20" t="str">
        <f t="shared" si="5"/>
        <v/>
      </c>
      <c r="K133" s="20" t="str">
        <f>IF(I133="","",IF(I133&lt;='Скали'!$B$1,"да","не"))</f>
        <v/>
      </c>
      <c r="L133" s="9"/>
      <c r="M133" s="9"/>
      <c r="N133" s="9"/>
      <c r="O133" s="9"/>
      <c r="P133" s="9"/>
      <c r="Q133" s="9"/>
      <c r="R133" s="20" t="str">
        <f t="shared" si="3"/>
        <v/>
      </c>
      <c r="S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20" t="str">
        <f t="shared" si="4"/>
        <v/>
      </c>
      <c r="J134" s="20" t="str">
        <f t="shared" si="5"/>
        <v/>
      </c>
      <c r="K134" s="20" t="str">
        <f>IF(I134="","",IF(I134&lt;='Скали'!$B$1,"да","не"))</f>
        <v/>
      </c>
      <c r="L134" s="9"/>
      <c r="M134" s="9"/>
      <c r="N134" s="9"/>
      <c r="O134" s="9"/>
      <c r="P134" s="9"/>
      <c r="Q134" s="9"/>
      <c r="R134" s="20" t="str">
        <f t="shared" si="3"/>
        <v/>
      </c>
      <c r="S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20" t="str">
        <f t="shared" si="4"/>
        <v/>
      </c>
      <c r="J135" s="20" t="str">
        <f t="shared" si="5"/>
        <v/>
      </c>
      <c r="K135" s="20" t="str">
        <f>IF(I135="","",IF(I135&lt;='Скали'!$B$1,"да","не"))</f>
        <v/>
      </c>
      <c r="L135" s="9"/>
      <c r="M135" s="9"/>
      <c r="N135" s="9"/>
      <c r="O135" s="9"/>
      <c r="P135" s="9"/>
      <c r="Q135" s="9"/>
      <c r="R135" s="20" t="str">
        <f t="shared" si="3"/>
        <v/>
      </c>
      <c r="S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20" t="str">
        <f t="shared" si="4"/>
        <v/>
      </c>
      <c r="J136" s="20" t="str">
        <f t="shared" si="5"/>
        <v/>
      </c>
      <c r="K136" s="20" t="str">
        <f>IF(I136="","",IF(I136&lt;='Скали'!$B$1,"да","не"))</f>
        <v/>
      </c>
      <c r="L136" s="9"/>
      <c r="M136" s="9"/>
      <c r="N136" s="9"/>
      <c r="O136" s="9"/>
      <c r="P136" s="9"/>
      <c r="Q136" s="9"/>
      <c r="R136" s="20" t="str">
        <f t="shared" si="3"/>
        <v/>
      </c>
      <c r="S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20" t="str">
        <f t="shared" si="4"/>
        <v/>
      </c>
      <c r="J137" s="20" t="str">
        <f t="shared" si="5"/>
        <v/>
      </c>
      <c r="K137" s="20" t="str">
        <f>IF(I137="","",IF(I137&lt;='Скали'!$B$1,"да","не"))</f>
        <v/>
      </c>
      <c r="L137" s="9"/>
      <c r="M137" s="9"/>
      <c r="N137" s="9"/>
      <c r="O137" s="9"/>
      <c r="P137" s="9"/>
      <c r="Q137" s="9"/>
      <c r="R137" s="20" t="str">
        <f t="shared" si="3"/>
        <v/>
      </c>
      <c r="S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20" t="str">
        <f t="shared" si="4"/>
        <v/>
      </c>
      <c r="J138" s="20" t="str">
        <f t="shared" si="5"/>
        <v/>
      </c>
      <c r="K138" s="20" t="str">
        <f>IF(I138="","",IF(I138&lt;='Скали'!$B$1,"да","не"))</f>
        <v/>
      </c>
      <c r="L138" s="9"/>
      <c r="M138" s="9"/>
      <c r="N138" s="9"/>
      <c r="O138" s="9"/>
      <c r="P138" s="9"/>
      <c r="Q138" s="9"/>
      <c r="R138" s="20" t="str">
        <f t="shared" si="3"/>
        <v/>
      </c>
      <c r="S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20" t="str">
        <f t="shared" si="4"/>
        <v/>
      </c>
      <c r="J139" s="20" t="str">
        <f t="shared" si="5"/>
        <v/>
      </c>
      <c r="K139" s="20" t="str">
        <f>IF(I139="","",IF(I139&lt;='Скали'!$B$1,"да","не"))</f>
        <v/>
      </c>
      <c r="L139" s="9"/>
      <c r="M139" s="9"/>
      <c r="N139" s="9"/>
      <c r="O139" s="9"/>
      <c r="P139" s="9"/>
      <c r="Q139" s="9"/>
      <c r="R139" s="20" t="str">
        <f t="shared" si="3"/>
        <v/>
      </c>
      <c r="S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20" t="str">
        <f t="shared" si="4"/>
        <v/>
      </c>
      <c r="J140" s="20" t="str">
        <f t="shared" si="5"/>
        <v/>
      </c>
      <c r="K140" s="20" t="str">
        <f>IF(I140="","",IF(I140&lt;='Скали'!$B$1,"да","не"))</f>
        <v/>
      </c>
      <c r="L140" s="9"/>
      <c r="M140" s="9"/>
      <c r="N140" s="9"/>
      <c r="O140" s="9"/>
      <c r="P140" s="9"/>
      <c r="Q140" s="9"/>
      <c r="R140" s="20" t="str">
        <f t="shared" si="3"/>
        <v/>
      </c>
      <c r="S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20" t="str">
        <f t="shared" si="4"/>
        <v/>
      </c>
      <c r="J141" s="20" t="str">
        <f t="shared" si="5"/>
        <v/>
      </c>
      <c r="K141" s="20" t="str">
        <f>IF(I141="","",IF(I141&lt;='Скали'!$B$1,"да","не"))</f>
        <v/>
      </c>
      <c r="L141" s="9"/>
      <c r="M141" s="9"/>
      <c r="N141" s="9"/>
      <c r="O141" s="9"/>
      <c r="P141" s="9"/>
      <c r="Q141" s="9"/>
      <c r="R141" s="20" t="str">
        <f t="shared" si="3"/>
        <v/>
      </c>
      <c r="S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20" t="str">
        <f t="shared" si="4"/>
        <v/>
      </c>
      <c r="J142" s="20" t="str">
        <f t="shared" si="5"/>
        <v/>
      </c>
      <c r="K142" s="20" t="str">
        <f>IF(I142="","",IF(I142&lt;='Скали'!$B$1,"да","не"))</f>
        <v/>
      </c>
      <c r="L142" s="9"/>
      <c r="M142" s="9"/>
      <c r="N142" s="9"/>
      <c r="O142" s="9"/>
      <c r="P142" s="9"/>
      <c r="Q142" s="9"/>
      <c r="R142" s="20" t="str">
        <f t="shared" si="3"/>
        <v/>
      </c>
      <c r="S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20" t="str">
        <f t="shared" si="4"/>
        <v/>
      </c>
      <c r="J143" s="20" t="str">
        <f t="shared" si="5"/>
        <v/>
      </c>
      <c r="K143" s="20" t="str">
        <f>IF(I143="","",IF(I143&lt;='Скали'!$B$1,"да","не"))</f>
        <v/>
      </c>
      <c r="L143" s="9"/>
      <c r="M143" s="9"/>
      <c r="N143" s="9"/>
      <c r="O143" s="9"/>
      <c r="P143" s="9"/>
      <c r="Q143" s="9"/>
      <c r="R143" s="20" t="str">
        <f t="shared" si="3"/>
        <v/>
      </c>
      <c r="S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20" t="str">
        <f t="shared" si="4"/>
        <v/>
      </c>
      <c r="J144" s="20" t="str">
        <f t="shared" si="5"/>
        <v/>
      </c>
      <c r="K144" s="20" t="str">
        <f>IF(I144="","",IF(I144&lt;='Скали'!$B$1,"да","не"))</f>
        <v/>
      </c>
      <c r="L144" s="9"/>
      <c r="M144" s="9"/>
      <c r="N144" s="9"/>
      <c r="O144" s="9"/>
      <c r="P144" s="9"/>
      <c r="Q144" s="9"/>
      <c r="R144" s="20" t="str">
        <f t="shared" si="3"/>
        <v/>
      </c>
      <c r="S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20" t="str">
        <f t="shared" si="4"/>
        <v/>
      </c>
      <c r="J145" s="20" t="str">
        <f t="shared" si="5"/>
        <v/>
      </c>
      <c r="K145" s="20" t="str">
        <f>IF(I145="","",IF(I145&lt;='Скали'!$B$1,"да","не"))</f>
        <v/>
      </c>
      <c r="L145" s="9"/>
      <c r="M145" s="9"/>
      <c r="N145" s="9"/>
      <c r="O145" s="9"/>
      <c r="P145" s="9"/>
      <c r="Q145" s="9"/>
      <c r="R145" s="20" t="str">
        <f t="shared" si="3"/>
        <v/>
      </c>
      <c r="S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20" t="str">
        <f t="shared" si="4"/>
        <v/>
      </c>
      <c r="J146" s="20" t="str">
        <f t="shared" si="5"/>
        <v/>
      </c>
      <c r="K146" s="20" t="str">
        <f>IF(I146="","",IF(I146&lt;='Скали'!$B$1,"да","не"))</f>
        <v/>
      </c>
      <c r="L146" s="9"/>
      <c r="M146" s="9"/>
      <c r="N146" s="9"/>
      <c r="O146" s="9"/>
      <c r="P146" s="9"/>
      <c r="Q146" s="9"/>
      <c r="R146" s="20" t="str">
        <f t="shared" si="3"/>
        <v/>
      </c>
      <c r="S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20" t="str">
        <f t="shared" si="4"/>
        <v/>
      </c>
      <c r="J147" s="20" t="str">
        <f t="shared" si="5"/>
        <v/>
      </c>
      <c r="K147" s="20" t="str">
        <f>IF(I147="","",IF(I147&lt;='Скали'!$B$1,"да","не"))</f>
        <v/>
      </c>
      <c r="L147" s="9"/>
      <c r="M147" s="9"/>
      <c r="N147" s="9"/>
      <c r="O147" s="9"/>
      <c r="P147" s="9"/>
      <c r="Q147" s="9"/>
      <c r="R147" s="20" t="str">
        <f t="shared" si="3"/>
        <v/>
      </c>
      <c r="S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20" t="str">
        <f t="shared" si="4"/>
        <v/>
      </c>
      <c r="J148" s="20" t="str">
        <f t="shared" si="5"/>
        <v/>
      </c>
      <c r="K148" s="20" t="str">
        <f>IF(I148="","",IF(I148&lt;='Скали'!$B$1,"да","не"))</f>
        <v/>
      </c>
      <c r="L148" s="9"/>
      <c r="M148" s="9"/>
      <c r="N148" s="9"/>
      <c r="O148" s="9"/>
      <c r="P148" s="9"/>
      <c r="Q148" s="9"/>
      <c r="R148" s="20" t="str">
        <f t="shared" si="3"/>
        <v/>
      </c>
      <c r="S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20" t="str">
        <f t="shared" si="4"/>
        <v/>
      </c>
      <c r="J149" s="20" t="str">
        <f t="shared" si="5"/>
        <v/>
      </c>
      <c r="K149" s="20" t="str">
        <f>IF(I149="","",IF(I149&lt;='Скали'!$B$1,"да","не"))</f>
        <v/>
      </c>
      <c r="L149" s="9"/>
      <c r="M149" s="9"/>
      <c r="N149" s="9"/>
      <c r="O149" s="9"/>
      <c r="P149" s="9"/>
      <c r="Q149" s="9"/>
      <c r="R149" s="20" t="str">
        <f t="shared" si="3"/>
        <v/>
      </c>
      <c r="S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20" t="str">
        <f t="shared" si="4"/>
        <v/>
      </c>
      <c r="J150" s="20" t="str">
        <f t="shared" si="5"/>
        <v/>
      </c>
      <c r="K150" s="20" t="str">
        <f>IF(I150="","",IF(I150&lt;='Скали'!$B$1,"да","не"))</f>
        <v/>
      </c>
      <c r="L150" s="9"/>
      <c r="M150" s="9"/>
      <c r="N150" s="9"/>
      <c r="O150" s="9"/>
      <c r="P150" s="9"/>
      <c r="Q150" s="9"/>
      <c r="R150" s="20" t="str">
        <f t="shared" si="3"/>
        <v/>
      </c>
      <c r="S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20" t="str">
        <f t="shared" si="4"/>
        <v/>
      </c>
      <c r="J151" s="20" t="str">
        <f t="shared" si="5"/>
        <v/>
      </c>
      <c r="K151" s="20" t="str">
        <f>IF(I151="","",IF(I151&lt;='Скали'!$B$1,"да","не"))</f>
        <v/>
      </c>
      <c r="L151" s="9"/>
      <c r="M151" s="9"/>
      <c r="N151" s="9"/>
      <c r="O151" s="9"/>
      <c r="P151" s="9"/>
      <c r="Q151" s="9"/>
      <c r="R151" s="20" t="str">
        <f t="shared" si="3"/>
        <v/>
      </c>
      <c r="S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20" t="str">
        <f t="shared" si="4"/>
        <v/>
      </c>
      <c r="J152" s="20" t="str">
        <f t="shared" si="5"/>
        <v/>
      </c>
      <c r="K152" s="20" t="str">
        <f>IF(I152="","",IF(I152&lt;='Скали'!$B$1,"да","не"))</f>
        <v/>
      </c>
      <c r="L152" s="9"/>
      <c r="M152" s="9"/>
      <c r="N152" s="9"/>
      <c r="O152" s="9"/>
      <c r="P152" s="9"/>
      <c r="Q152" s="9"/>
      <c r="R152" s="20" t="str">
        <f t="shared" si="3"/>
        <v/>
      </c>
      <c r="S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20" t="str">
        <f t="shared" si="4"/>
        <v/>
      </c>
      <c r="J153" s="20" t="str">
        <f t="shared" si="5"/>
        <v/>
      </c>
      <c r="K153" s="20" t="str">
        <f>IF(I153="","",IF(I153&lt;='Скали'!$B$1,"да","не"))</f>
        <v/>
      </c>
      <c r="L153" s="9"/>
      <c r="M153" s="9"/>
      <c r="N153" s="9"/>
      <c r="O153" s="9"/>
      <c r="P153" s="9"/>
      <c r="Q153" s="9"/>
      <c r="R153" s="20" t="str">
        <f t="shared" si="3"/>
        <v/>
      </c>
      <c r="S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20" t="str">
        <f t="shared" si="4"/>
        <v/>
      </c>
      <c r="J154" s="20" t="str">
        <f t="shared" si="5"/>
        <v/>
      </c>
      <c r="K154" s="20" t="str">
        <f>IF(I154="","",IF(I154&lt;='Скали'!$B$1,"да","не"))</f>
        <v/>
      </c>
      <c r="L154" s="9"/>
      <c r="M154" s="9"/>
      <c r="N154" s="9"/>
      <c r="O154" s="9"/>
      <c r="P154" s="9"/>
      <c r="Q154" s="9"/>
      <c r="R154" s="20" t="str">
        <f t="shared" si="3"/>
        <v/>
      </c>
      <c r="S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20" t="str">
        <f t="shared" si="4"/>
        <v/>
      </c>
      <c r="J155" s="20" t="str">
        <f t="shared" si="5"/>
        <v/>
      </c>
      <c r="K155" s="20" t="str">
        <f>IF(I155="","",IF(I155&lt;='Скали'!$B$1,"да","не"))</f>
        <v/>
      </c>
      <c r="L155" s="9"/>
      <c r="M155" s="9"/>
      <c r="N155" s="9"/>
      <c r="O155" s="9"/>
      <c r="P155" s="9"/>
      <c r="Q155" s="9"/>
      <c r="R155" s="20" t="str">
        <f t="shared" si="3"/>
        <v/>
      </c>
      <c r="S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20" t="str">
        <f t="shared" si="4"/>
        <v/>
      </c>
      <c r="J156" s="20" t="str">
        <f t="shared" si="5"/>
        <v/>
      </c>
      <c r="K156" s="20" t="str">
        <f>IF(I156="","",IF(I156&lt;='Скали'!$B$1,"да","не"))</f>
        <v/>
      </c>
      <c r="L156" s="9"/>
      <c r="M156" s="9"/>
      <c r="N156" s="9"/>
      <c r="O156" s="9"/>
      <c r="P156" s="9"/>
      <c r="Q156" s="9"/>
      <c r="R156" s="20" t="str">
        <f t="shared" si="3"/>
        <v/>
      </c>
      <c r="S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20" t="str">
        <f t="shared" si="4"/>
        <v/>
      </c>
      <c r="J157" s="20" t="str">
        <f t="shared" si="5"/>
        <v/>
      </c>
      <c r="K157" s="20" t="str">
        <f>IF(I157="","",IF(I157&lt;='Скали'!$B$1,"да","не"))</f>
        <v/>
      </c>
      <c r="L157" s="9"/>
      <c r="M157" s="9"/>
      <c r="N157" s="9"/>
      <c r="O157" s="9"/>
      <c r="P157" s="9"/>
      <c r="Q157" s="9"/>
      <c r="R157" s="20" t="str">
        <f t="shared" si="3"/>
        <v/>
      </c>
      <c r="S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20" t="str">
        <f t="shared" si="4"/>
        <v/>
      </c>
      <c r="J158" s="20" t="str">
        <f t="shared" si="5"/>
        <v/>
      </c>
      <c r="K158" s="20" t="str">
        <f>IF(I158="","",IF(I158&lt;='Скали'!$B$1,"да","не"))</f>
        <v/>
      </c>
      <c r="L158" s="9"/>
      <c r="M158" s="9"/>
      <c r="N158" s="9"/>
      <c r="O158" s="9"/>
      <c r="P158" s="9"/>
      <c r="Q158" s="9"/>
      <c r="R158" s="20" t="str">
        <f t="shared" si="3"/>
        <v/>
      </c>
      <c r="S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20" t="str">
        <f t="shared" si="4"/>
        <v/>
      </c>
      <c r="J159" s="20" t="str">
        <f t="shared" si="5"/>
        <v/>
      </c>
      <c r="K159" s="20" t="str">
        <f>IF(I159="","",IF(I159&lt;='Скали'!$B$1,"да","не"))</f>
        <v/>
      </c>
      <c r="L159" s="9"/>
      <c r="M159" s="9"/>
      <c r="N159" s="9"/>
      <c r="O159" s="9"/>
      <c r="P159" s="9"/>
      <c r="Q159" s="9"/>
      <c r="R159" s="20" t="str">
        <f t="shared" si="3"/>
        <v/>
      </c>
      <c r="S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20" t="str">
        <f t="shared" si="4"/>
        <v/>
      </c>
      <c r="J160" s="20" t="str">
        <f t="shared" si="5"/>
        <v/>
      </c>
      <c r="K160" s="20" t="str">
        <f>IF(I160="","",IF(I160&lt;='Скали'!$B$1,"да","не"))</f>
        <v/>
      </c>
      <c r="L160" s="9"/>
      <c r="M160" s="9"/>
      <c r="N160" s="9"/>
      <c r="O160" s="9"/>
      <c r="P160" s="9"/>
      <c r="Q160" s="9"/>
      <c r="R160" s="20" t="str">
        <f t="shared" si="3"/>
        <v/>
      </c>
      <c r="S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20" t="str">
        <f t="shared" si="4"/>
        <v/>
      </c>
      <c r="J161" s="20" t="str">
        <f t="shared" si="5"/>
        <v/>
      </c>
      <c r="K161" s="20" t="str">
        <f>IF(I161="","",IF(I161&lt;='Скали'!$B$1,"да","не"))</f>
        <v/>
      </c>
      <c r="L161" s="9"/>
      <c r="M161" s="9"/>
      <c r="N161" s="9"/>
      <c r="O161" s="9"/>
      <c r="P161" s="9"/>
      <c r="Q161" s="9"/>
      <c r="R161" s="20" t="str">
        <f t="shared" si="3"/>
        <v/>
      </c>
      <c r="S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20" t="str">
        <f t="shared" si="4"/>
        <v/>
      </c>
      <c r="J162" s="20" t="str">
        <f t="shared" si="5"/>
        <v/>
      </c>
      <c r="K162" s="20" t="str">
        <f>IF(I162="","",IF(I162&lt;='Скали'!$B$1,"да","не"))</f>
        <v/>
      </c>
      <c r="L162" s="9"/>
      <c r="M162" s="9"/>
      <c r="N162" s="9"/>
      <c r="O162" s="9"/>
      <c r="P162" s="9"/>
      <c r="Q162" s="9"/>
      <c r="R162" s="20" t="str">
        <f t="shared" si="3"/>
        <v/>
      </c>
      <c r="S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20" t="str">
        <f t="shared" si="4"/>
        <v/>
      </c>
      <c r="J163" s="20" t="str">
        <f t="shared" si="5"/>
        <v/>
      </c>
      <c r="K163" s="20" t="str">
        <f>IF(I163="","",IF(I163&lt;='Скали'!$B$1,"да","не"))</f>
        <v/>
      </c>
      <c r="L163" s="9"/>
      <c r="M163" s="9"/>
      <c r="N163" s="9"/>
      <c r="O163" s="9"/>
      <c r="P163" s="9"/>
      <c r="Q163" s="9"/>
      <c r="R163" s="20" t="str">
        <f t="shared" si="3"/>
        <v/>
      </c>
      <c r="S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20" t="str">
        <f t="shared" si="4"/>
        <v/>
      </c>
      <c r="J164" s="20" t="str">
        <f t="shared" si="5"/>
        <v/>
      </c>
      <c r="K164" s="20" t="str">
        <f>IF(I164="","",IF(I164&lt;='Скали'!$B$1,"да","не"))</f>
        <v/>
      </c>
      <c r="L164" s="9"/>
      <c r="M164" s="9"/>
      <c r="N164" s="9"/>
      <c r="O164" s="9"/>
      <c r="P164" s="9"/>
      <c r="Q164" s="9"/>
      <c r="R164" s="20" t="str">
        <f t="shared" si="3"/>
        <v/>
      </c>
      <c r="S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20" t="str">
        <f t="shared" si="4"/>
        <v/>
      </c>
      <c r="J165" s="20" t="str">
        <f t="shared" si="5"/>
        <v/>
      </c>
      <c r="K165" s="20" t="str">
        <f>IF(I165="","",IF(I165&lt;='Скали'!$B$1,"да","не"))</f>
        <v/>
      </c>
      <c r="L165" s="9"/>
      <c r="M165" s="9"/>
      <c r="N165" s="9"/>
      <c r="O165" s="9"/>
      <c r="P165" s="9"/>
      <c r="Q165" s="9"/>
      <c r="R165" s="20" t="str">
        <f t="shared" si="3"/>
        <v/>
      </c>
      <c r="S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20" t="str">
        <f t="shared" si="4"/>
        <v/>
      </c>
      <c r="J166" s="20" t="str">
        <f t="shared" si="5"/>
        <v/>
      </c>
      <c r="K166" s="20" t="str">
        <f>IF(I166="","",IF(I166&lt;='Скали'!$B$1,"да","не"))</f>
        <v/>
      </c>
      <c r="L166" s="9"/>
      <c r="M166" s="9"/>
      <c r="N166" s="9"/>
      <c r="O166" s="9"/>
      <c r="P166" s="9"/>
      <c r="Q166" s="9"/>
      <c r="R166" s="20" t="str">
        <f t="shared" si="3"/>
        <v/>
      </c>
      <c r="S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20" t="str">
        <f t="shared" si="4"/>
        <v/>
      </c>
      <c r="J167" s="20" t="str">
        <f t="shared" si="5"/>
        <v/>
      </c>
      <c r="K167" s="20" t="str">
        <f>IF(I167="","",IF(I167&lt;='Скали'!$B$1,"да","не"))</f>
        <v/>
      </c>
      <c r="L167" s="9"/>
      <c r="M167" s="9"/>
      <c r="N167" s="9"/>
      <c r="O167" s="9"/>
      <c r="P167" s="9"/>
      <c r="Q167" s="9"/>
      <c r="R167" s="20" t="str">
        <f t="shared" si="3"/>
        <v/>
      </c>
      <c r="S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20" t="str">
        <f t="shared" si="4"/>
        <v/>
      </c>
      <c r="J168" s="20" t="str">
        <f t="shared" si="5"/>
        <v/>
      </c>
      <c r="K168" s="20" t="str">
        <f>IF(I168="","",IF(I168&lt;='Скали'!$B$1,"да","не"))</f>
        <v/>
      </c>
      <c r="L168" s="9"/>
      <c r="M168" s="9"/>
      <c r="N168" s="9"/>
      <c r="O168" s="9"/>
      <c r="P168" s="9"/>
      <c r="Q168" s="9"/>
      <c r="R168" s="20" t="str">
        <f t="shared" si="3"/>
        <v/>
      </c>
      <c r="S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20" t="str">
        <f t="shared" si="4"/>
        <v/>
      </c>
      <c r="J169" s="20" t="str">
        <f t="shared" si="5"/>
        <v/>
      </c>
      <c r="K169" s="20" t="str">
        <f>IF(I169="","",IF(I169&lt;='Скали'!$B$1,"да","не"))</f>
        <v/>
      </c>
      <c r="L169" s="9"/>
      <c r="M169" s="9"/>
      <c r="N169" s="9"/>
      <c r="O169" s="9"/>
      <c r="P169" s="9"/>
      <c r="Q169" s="9"/>
      <c r="R169" s="20" t="str">
        <f t="shared" si="3"/>
        <v/>
      </c>
      <c r="S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20" t="str">
        <f t="shared" si="4"/>
        <v/>
      </c>
      <c r="J170" s="20" t="str">
        <f t="shared" si="5"/>
        <v/>
      </c>
      <c r="K170" s="20" t="str">
        <f>IF(I170="","",IF(I170&lt;='Скали'!$B$1,"да","не"))</f>
        <v/>
      </c>
      <c r="L170" s="9"/>
      <c r="M170" s="9"/>
      <c r="N170" s="9"/>
      <c r="O170" s="9"/>
      <c r="P170" s="9"/>
      <c r="Q170" s="9"/>
      <c r="R170" s="20" t="str">
        <f t="shared" si="3"/>
        <v/>
      </c>
      <c r="S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20" t="str">
        <f t="shared" si="4"/>
        <v/>
      </c>
      <c r="J171" s="20" t="str">
        <f t="shared" si="5"/>
        <v/>
      </c>
      <c r="K171" s="20" t="str">
        <f>IF(I171="","",IF(I171&lt;='Скали'!$B$1,"да","не"))</f>
        <v/>
      </c>
      <c r="L171" s="9"/>
      <c r="M171" s="9"/>
      <c r="N171" s="9"/>
      <c r="O171" s="9"/>
      <c r="P171" s="9"/>
      <c r="Q171" s="9"/>
      <c r="R171" s="20" t="str">
        <f t="shared" si="3"/>
        <v/>
      </c>
      <c r="S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20" t="str">
        <f t="shared" si="4"/>
        <v/>
      </c>
      <c r="J172" s="20" t="str">
        <f t="shared" si="5"/>
        <v/>
      </c>
      <c r="K172" s="20" t="str">
        <f>IF(I172="","",IF(I172&lt;='Скали'!$B$1,"да","не"))</f>
        <v/>
      </c>
      <c r="L172" s="9"/>
      <c r="M172" s="9"/>
      <c r="N172" s="9"/>
      <c r="O172" s="9"/>
      <c r="P172" s="9"/>
      <c r="Q172" s="9"/>
      <c r="R172" s="20" t="str">
        <f t="shared" si="3"/>
        <v/>
      </c>
      <c r="S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20" t="str">
        <f t="shared" si="4"/>
        <v/>
      </c>
      <c r="J173" s="20" t="str">
        <f t="shared" si="5"/>
        <v/>
      </c>
      <c r="K173" s="20" t="str">
        <f>IF(I173="","",IF(I173&lt;='Скали'!$B$1,"да","не"))</f>
        <v/>
      </c>
      <c r="L173" s="9"/>
      <c r="M173" s="9"/>
      <c r="N173" s="9"/>
      <c r="O173" s="9"/>
      <c r="P173" s="9"/>
      <c r="Q173" s="9"/>
      <c r="R173" s="20" t="str">
        <f t="shared" si="3"/>
        <v/>
      </c>
      <c r="S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20" t="str">
        <f t="shared" si="4"/>
        <v/>
      </c>
      <c r="J174" s="20" t="str">
        <f t="shared" si="5"/>
        <v/>
      </c>
      <c r="K174" s="20" t="str">
        <f>IF(I174="","",IF(I174&lt;='Скали'!$B$1,"да","не"))</f>
        <v/>
      </c>
      <c r="L174" s="9"/>
      <c r="M174" s="9"/>
      <c r="N174" s="9"/>
      <c r="O174" s="9"/>
      <c r="P174" s="9"/>
      <c r="Q174" s="9"/>
      <c r="R174" s="20" t="str">
        <f t="shared" si="3"/>
        <v/>
      </c>
      <c r="S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20" t="str">
        <f t="shared" si="4"/>
        <v/>
      </c>
      <c r="J175" s="20" t="str">
        <f t="shared" si="5"/>
        <v/>
      </c>
      <c r="K175" s="20" t="str">
        <f>IF(I175="","",IF(I175&lt;='Скали'!$B$1,"да","не"))</f>
        <v/>
      </c>
      <c r="L175" s="9"/>
      <c r="M175" s="9"/>
      <c r="N175" s="9"/>
      <c r="O175" s="9"/>
      <c r="P175" s="9"/>
      <c r="Q175" s="9"/>
      <c r="R175" s="20" t="str">
        <f t="shared" si="3"/>
        <v/>
      </c>
      <c r="S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20" t="str">
        <f t="shared" si="4"/>
        <v/>
      </c>
      <c r="J176" s="20" t="str">
        <f t="shared" si="5"/>
        <v/>
      </c>
      <c r="K176" s="20" t="str">
        <f>IF(I176="","",IF(I176&lt;='Скали'!$B$1,"да","не"))</f>
        <v/>
      </c>
      <c r="L176" s="9"/>
      <c r="M176" s="9"/>
      <c r="N176" s="9"/>
      <c r="O176" s="9"/>
      <c r="P176" s="9"/>
      <c r="Q176" s="9"/>
      <c r="R176" s="20" t="str">
        <f t="shared" si="3"/>
        <v/>
      </c>
      <c r="S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20" t="str">
        <f t="shared" si="4"/>
        <v/>
      </c>
      <c r="J177" s="20" t="str">
        <f t="shared" si="5"/>
        <v/>
      </c>
      <c r="K177" s="20" t="str">
        <f>IF(I177="","",IF(I177&lt;='Скали'!$B$1,"да","не"))</f>
        <v/>
      </c>
      <c r="L177" s="9"/>
      <c r="M177" s="9"/>
      <c r="N177" s="9"/>
      <c r="O177" s="9"/>
      <c r="P177" s="9"/>
      <c r="Q177" s="9"/>
      <c r="R177" s="20" t="str">
        <f t="shared" si="3"/>
        <v/>
      </c>
      <c r="S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20" t="str">
        <f t="shared" si="4"/>
        <v/>
      </c>
      <c r="J178" s="20" t="str">
        <f t="shared" si="5"/>
        <v/>
      </c>
      <c r="K178" s="20" t="str">
        <f>IF(I178="","",IF(I178&lt;='Скали'!$B$1,"да","не"))</f>
        <v/>
      </c>
      <c r="L178" s="9"/>
      <c r="M178" s="9"/>
      <c r="N178" s="9"/>
      <c r="O178" s="9"/>
      <c r="P178" s="9"/>
      <c r="Q178" s="9"/>
      <c r="R178" s="20" t="str">
        <f t="shared" si="3"/>
        <v/>
      </c>
      <c r="S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20" t="str">
        <f t="shared" si="4"/>
        <v/>
      </c>
      <c r="J179" s="20" t="str">
        <f t="shared" si="5"/>
        <v/>
      </c>
      <c r="K179" s="20" t="str">
        <f>IF(I179="","",IF(I179&lt;='Скали'!$B$1,"да","не"))</f>
        <v/>
      </c>
      <c r="L179" s="9"/>
      <c r="M179" s="9"/>
      <c r="N179" s="9"/>
      <c r="O179" s="9"/>
      <c r="P179" s="9"/>
      <c r="Q179" s="9"/>
      <c r="R179" s="20" t="str">
        <f t="shared" si="3"/>
        <v/>
      </c>
      <c r="S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20" t="str">
        <f t="shared" si="4"/>
        <v/>
      </c>
      <c r="J180" s="20" t="str">
        <f t="shared" si="5"/>
        <v/>
      </c>
      <c r="K180" s="20" t="str">
        <f>IF(I180="","",IF(I180&lt;='Скали'!$B$1,"да","не"))</f>
        <v/>
      </c>
      <c r="L180" s="9"/>
      <c r="M180" s="9"/>
      <c r="N180" s="9"/>
      <c r="O180" s="9"/>
      <c r="P180" s="9"/>
      <c r="Q180" s="9"/>
      <c r="R180" s="20" t="str">
        <f t="shared" si="3"/>
        <v/>
      </c>
      <c r="S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20" t="str">
        <f t="shared" si="4"/>
        <v/>
      </c>
      <c r="J181" s="20" t="str">
        <f t="shared" si="5"/>
        <v/>
      </c>
      <c r="K181" s="20" t="str">
        <f>IF(I181="","",IF(I181&lt;='Скали'!$B$1,"да","не"))</f>
        <v/>
      </c>
      <c r="L181" s="9"/>
      <c r="M181" s="9"/>
      <c r="N181" s="9"/>
      <c r="O181" s="9"/>
      <c r="P181" s="9"/>
      <c r="Q181" s="9"/>
      <c r="R181" s="20" t="str">
        <f t="shared" si="3"/>
        <v/>
      </c>
      <c r="S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20" t="str">
        <f t="shared" si="4"/>
        <v/>
      </c>
      <c r="J182" s="20" t="str">
        <f t="shared" si="5"/>
        <v/>
      </c>
      <c r="K182" s="20" t="str">
        <f>IF(I182="","",IF(I182&lt;='Скали'!$B$1,"да","не"))</f>
        <v/>
      </c>
      <c r="L182" s="9"/>
      <c r="M182" s="9"/>
      <c r="N182" s="9"/>
      <c r="O182" s="9"/>
      <c r="P182" s="9"/>
      <c r="Q182" s="9"/>
      <c r="R182" s="20" t="str">
        <f t="shared" si="3"/>
        <v/>
      </c>
      <c r="S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20" t="str">
        <f t="shared" si="4"/>
        <v/>
      </c>
      <c r="J183" s="20" t="str">
        <f t="shared" si="5"/>
        <v/>
      </c>
      <c r="K183" s="20" t="str">
        <f>IF(I183="","",IF(I183&lt;='Скали'!$B$1,"да","не"))</f>
        <v/>
      </c>
      <c r="L183" s="9"/>
      <c r="M183" s="9"/>
      <c r="N183" s="9"/>
      <c r="O183" s="9"/>
      <c r="P183" s="9"/>
      <c r="Q183" s="9"/>
      <c r="R183" s="20" t="str">
        <f t="shared" si="3"/>
        <v/>
      </c>
      <c r="S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20" t="str">
        <f t="shared" si="4"/>
        <v/>
      </c>
      <c r="J184" s="20" t="str">
        <f t="shared" si="5"/>
        <v/>
      </c>
      <c r="K184" s="20" t="str">
        <f>IF(I184="","",IF(I184&lt;='Скали'!$B$1,"да","не"))</f>
        <v/>
      </c>
      <c r="L184" s="9"/>
      <c r="M184" s="9"/>
      <c r="N184" s="9"/>
      <c r="O184" s="9"/>
      <c r="P184" s="9"/>
      <c r="Q184" s="9"/>
      <c r="R184" s="20" t="str">
        <f t="shared" si="3"/>
        <v/>
      </c>
      <c r="S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20" t="str">
        <f t="shared" si="4"/>
        <v/>
      </c>
      <c r="J185" s="20" t="str">
        <f t="shared" si="5"/>
        <v/>
      </c>
      <c r="K185" s="20" t="str">
        <f>IF(I185="","",IF(I185&lt;='Скали'!$B$1,"да","не"))</f>
        <v/>
      </c>
      <c r="L185" s="9"/>
      <c r="M185" s="9"/>
      <c r="N185" s="9"/>
      <c r="O185" s="9"/>
      <c r="P185" s="9"/>
      <c r="Q185" s="9"/>
      <c r="R185" s="20" t="str">
        <f t="shared" si="3"/>
        <v/>
      </c>
      <c r="S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20" t="str">
        <f t="shared" si="4"/>
        <v/>
      </c>
      <c r="J186" s="20" t="str">
        <f t="shared" si="5"/>
        <v/>
      </c>
      <c r="K186" s="20" t="str">
        <f>IF(I186="","",IF(I186&lt;='Скали'!$B$1,"да","не"))</f>
        <v/>
      </c>
      <c r="L186" s="9"/>
      <c r="M186" s="9"/>
      <c r="N186" s="9"/>
      <c r="O186" s="9"/>
      <c r="P186" s="9"/>
      <c r="Q186" s="9"/>
      <c r="R186" s="20" t="str">
        <f t="shared" si="3"/>
        <v/>
      </c>
      <c r="S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20" t="str">
        <f t="shared" si="4"/>
        <v/>
      </c>
      <c r="J187" s="20" t="str">
        <f t="shared" si="5"/>
        <v/>
      </c>
      <c r="K187" s="20" t="str">
        <f>IF(I187="","",IF(I187&lt;='Скали'!$B$1,"да","не"))</f>
        <v/>
      </c>
      <c r="L187" s="9"/>
      <c r="M187" s="9"/>
      <c r="N187" s="9"/>
      <c r="O187" s="9"/>
      <c r="P187" s="9"/>
      <c r="Q187" s="9"/>
      <c r="R187" s="20" t="str">
        <f t="shared" si="3"/>
        <v/>
      </c>
      <c r="S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20" t="str">
        <f t="shared" si="4"/>
        <v/>
      </c>
      <c r="J188" s="20" t="str">
        <f t="shared" si="5"/>
        <v/>
      </c>
      <c r="K188" s="20" t="str">
        <f>IF(I188="","",IF(I188&lt;='Скали'!$B$1,"да","не"))</f>
        <v/>
      </c>
      <c r="L188" s="9"/>
      <c r="M188" s="9"/>
      <c r="N188" s="9"/>
      <c r="O188" s="9"/>
      <c r="P188" s="9"/>
      <c r="Q188" s="9"/>
      <c r="R188" s="20" t="str">
        <f t="shared" si="3"/>
        <v/>
      </c>
      <c r="S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20" t="str">
        <f t="shared" si="4"/>
        <v/>
      </c>
      <c r="J189" s="20" t="str">
        <f t="shared" si="5"/>
        <v/>
      </c>
      <c r="K189" s="20" t="str">
        <f>IF(I189="","",IF(I189&lt;='Скали'!$B$1,"да","не"))</f>
        <v/>
      </c>
      <c r="L189" s="9"/>
      <c r="M189" s="9"/>
      <c r="N189" s="9"/>
      <c r="O189" s="9"/>
      <c r="P189" s="9"/>
      <c r="Q189" s="9"/>
      <c r="R189" s="20" t="str">
        <f t="shared" si="3"/>
        <v/>
      </c>
      <c r="S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20" t="str">
        <f t="shared" si="4"/>
        <v/>
      </c>
      <c r="J190" s="20" t="str">
        <f t="shared" si="5"/>
        <v/>
      </c>
      <c r="K190" s="20" t="str">
        <f>IF(I190="","",IF(I190&lt;='Скали'!$B$1,"да","не"))</f>
        <v/>
      </c>
      <c r="L190" s="9"/>
      <c r="M190" s="9"/>
      <c r="N190" s="9"/>
      <c r="O190" s="9"/>
      <c r="P190" s="9"/>
      <c r="Q190" s="9"/>
      <c r="R190" s="20" t="str">
        <f t="shared" si="3"/>
        <v/>
      </c>
      <c r="S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20" t="str">
        <f t="shared" si="4"/>
        <v/>
      </c>
      <c r="J191" s="20" t="str">
        <f t="shared" si="5"/>
        <v/>
      </c>
      <c r="K191" s="20" t="str">
        <f>IF(I191="","",IF(I191&lt;='Скали'!$B$1,"да","не"))</f>
        <v/>
      </c>
      <c r="L191" s="9"/>
      <c r="M191" s="9"/>
      <c r="N191" s="9"/>
      <c r="O191" s="9"/>
      <c r="P191" s="9"/>
      <c r="Q191" s="9"/>
      <c r="R191" s="20" t="str">
        <f t="shared" si="3"/>
        <v/>
      </c>
      <c r="S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20" t="str">
        <f t="shared" si="4"/>
        <v/>
      </c>
      <c r="J192" s="20" t="str">
        <f t="shared" si="5"/>
        <v/>
      </c>
      <c r="K192" s="20" t="str">
        <f>IF(I192="","",IF(I192&lt;='Скали'!$B$1,"да","не"))</f>
        <v/>
      </c>
      <c r="L192" s="9"/>
      <c r="M192" s="9"/>
      <c r="N192" s="9"/>
      <c r="O192" s="9"/>
      <c r="P192" s="9"/>
      <c r="Q192" s="9"/>
      <c r="R192" s="20" t="str">
        <f t="shared" si="3"/>
        <v/>
      </c>
      <c r="S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20" t="str">
        <f t="shared" si="4"/>
        <v/>
      </c>
      <c r="J193" s="20" t="str">
        <f t="shared" si="5"/>
        <v/>
      </c>
      <c r="K193" s="20" t="str">
        <f>IF(I193="","",IF(I193&lt;='Скали'!$B$1,"да","не"))</f>
        <v/>
      </c>
      <c r="L193" s="9"/>
      <c r="M193" s="9"/>
      <c r="N193" s="9"/>
      <c r="O193" s="9"/>
      <c r="P193" s="9"/>
      <c r="Q193" s="9"/>
      <c r="R193" s="20" t="str">
        <f t="shared" si="3"/>
        <v/>
      </c>
      <c r="S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20" t="str">
        <f t="shared" si="4"/>
        <v/>
      </c>
      <c r="J194" s="20" t="str">
        <f t="shared" si="5"/>
        <v/>
      </c>
      <c r="K194" s="20" t="str">
        <f>IF(I194="","",IF(I194&lt;='Скали'!$B$1,"да","не"))</f>
        <v/>
      </c>
      <c r="L194" s="9"/>
      <c r="M194" s="9"/>
      <c r="N194" s="9"/>
      <c r="O194" s="9"/>
      <c r="P194" s="9"/>
      <c r="Q194" s="9"/>
      <c r="R194" s="20" t="str">
        <f t="shared" si="3"/>
        <v/>
      </c>
      <c r="S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20" t="str">
        <f t="shared" si="4"/>
        <v/>
      </c>
      <c r="J195" s="20" t="str">
        <f t="shared" si="5"/>
        <v/>
      </c>
      <c r="K195" s="20" t="str">
        <f>IF(I195="","",IF(I195&lt;='Скали'!$B$1,"да","не"))</f>
        <v/>
      </c>
      <c r="L195" s="9"/>
      <c r="M195" s="9"/>
      <c r="N195" s="9"/>
      <c r="O195" s="9"/>
      <c r="P195" s="9"/>
      <c r="Q195" s="9"/>
      <c r="R195" s="20" t="str">
        <f t="shared" si="3"/>
        <v/>
      </c>
      <c r="S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20" t="str">
        <f t="shared" si="4"/>
        <v/>
      </c>
      <c r="J196" s="20" t="str">
        <f t="shared" si="5"/>
        <v/>
      </c>
      <c r="K196" s="20" t="str">
        <f>IF(I196="","",IF(I196&lt;='Скали'!$B$1,"да","не"))</f>
        <v/>
      </c>
      <c r="L196" s="9"/>
      <c r="M196" s="9"/>
      <c r="N196" s="9"/>
      <c r="O196" s="9"/>
      <c r="P196" s="9"/>
      <c r="Q196" s="9"/>
      <c r="R196" s="20" t="str">
        <f t="shared" si="3"/>
        <v/>
      </c>
      <c r="S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20" t="str">
        <f t="shared" si="4"/>
        <v/>
      </c>
      <c r="J197" s="20" t="str">
        <f t="shared" si="5"/>
        <v/>
      </c>
      <c r="K197" s="20" t="str">
        <f>IF(I197="","",IF(I197&lt;='Скали'!$B$1,"да","не"))</f>
        <v/>
      </c>
      <c r="L197" s="9"/>
      <c r="M197" s="9"/>
      <c r="N197" s="9"/>
      <c r="O197" s="9"/>
      <c r="P197" s="9"/>
      <c r="Q197" s="9"/>
      <c r="R197" s="20" t="str">
        <f t="shared" si="3"/>
        <v/>
      </c>
      <c r="S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20" t="str">
        <f t="shared" si="4"/>
        <v/>
      </c>
      <c r="J198" s="20" t="str">
        <f t="shared" si="5"/>
        <v/>
      </c>
      <c r="K198" s="20" t="str">
        <f>IF(I198="","",IF(I198&lt;='Скали'!$B$1,"да","не"))</f>
        <v/>
      </c>
      <c r="L198" s="9"/>
      <c r="M198" s="9"/>
      <c r="N198" s="9"/>
      <c r="O198" s="9"/>
      <c r="P198" s="9"/>
      <c r="Q198" s="9"/>
      <c r="R198" s="20" t="str">
        <f t="shared" si="3"/>
        <v/>
      </c>
      <c r="S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20" t="str">
        <f t="shared" si="4"/>
        <v/>
      </c>
      <c r="J199" s="20" t="str">
        <f t="shared" si="5"/>
        <v/>
      </c>
      <c r="K199" s="20" t="str">
        <f>IF(I199="","",IF(I199&lt;='Скали'!$B$1,"да","не"))</f>
        <v/>
      </c>
      <c r="L199" s="9"/>
      <c r="M199" s="9"/>
      <c r="N199" s="9"/>
      <c r="O199" s="9"/>
      <c r="P199" s="9"/>
      <c r="Q199" s="9"/>
      <c r="R199" s="20" t="str">
        <f t="shared" si="3"/>
        <v/>
      </c>
      <c r="S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20" t="str">
        <f t="shared" si="4"/>
        <v/>
      </c>
      <c r="J200" s="20" t="str">
        <f t="shared" si="5"/>
        <v/>
      </c>
      <c r="K200" s="20" t="str">
        <f>IF(I200="","",IF(I200&lt;='Скали'!$B$1,"да","не"))</f>
        <v/>
      </c>
      <c r="L200" s="9"/>
      <c r="M200" s="9"/>
      <c r="N200" s="9"/>
      <c r="O200" s="9"/>
      <c r="P200" s="9"/>
      <c r="Q200" s="9"/>
      <c r="R200" s="20" t="str">
        <f t="shared" si="3"/>
        <v/>
      </c>
      <c r="S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20" t="str">
        <f t="shared" si="4"/>
        <v/>
      </c>
      <c r="J201" s="20" t="str">
        <f t="shared" si="5"/>
        <v/>
      </c>
      <c r="K201" s="20" t="str">
        <f>IF(I201="","",IF(I201&lt;='Скали'!$B$1,"да","не"))</f>
        <v/>
      </c>
      <c r="L201" s="9"/>
      <c r="M201" s="9"/>
      <c r="N201" s="9"/>
      <c r="O201" s="9"/>
      <c r="P201" s="9"/>
      <c r="Q201" s="9"/>
      <c r="R201" s="20" t="str">
        <f t="shared" si="3"/>
        <v/>
      </c>
      <c r="S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20" t="str">
        <f t="shared" si="4"/>
        <v/>
      </c>
      <c r="J202" s="20" t="str">
        <f t="shared" si="5"/>
        <v/>
      </c>
      <c r="K202" s="20" t="str">
        <f>IF(I202="","",IF(I202&lt;='Скали'!$B$1,"да","не"))</f>
        <v/>
      </c>
      <c r="L202" s="9"/>
      <c r="M202" s="9"/>
      <c r="N202" s="9"/>
      <c r="O202" s="9"/>
      <c r="P202" s="9"/>
      <c r="Q202" s="9"/>
      <c r="R202" s="20" t="str">
        <f t="shared" si="3"/>
        <v/>
      </c>
      <c r="S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20" t="str">
        <f t="shared" si="4"/>
        <v/>
      </c>
      <c r="J203" s="20" t="str">
        <f t="shared" si="5"/>
        <v/>
      </c>
      <c r="K203" s="20" t="str">
        <f>IF(I203="","",IF(I203&lt;='Скали'!$B$1,"да","не"))</f>
        <v/>
      </c>
      <c r="L203" s="9"/>
      <c r="M203" s="9"/>
      <c r="N203" s="9"/>
      <c r="O203" s="9"/>
      <c r="P203" s="9"/>
      <c r="Q203" s="9"/>
      <c r="R203" s="20" t="str">
        <f t="shared" si="3"/>
        <v/>
      </c>
      <c r="S203" s="9"/>
    </row>
    <row r="204" ht="15.75" customHeight="1">
      <c r="G204" s="21"/>
      <c r="H204" s="21"/>
      <c r="I204" s="21" t="str">
        <f t="shared" si="4"/>
        <v/>
      </c>
      <c r="J204" s="21" t="str">
        <f t="shared" si="5"/>
        <v/>
      </c>
      <c r="K204" s="21" t="str">
        <f>IF(I204="","",IF(I204&lt;='Скали'!$B$1,"да","не"))</f>
        <v/>
      </c>
      <c r="L204" s="21"/>
      <c r="P204" s="21"/>
      <c r="Q204" s="21"/>
      <c r="R204" s="21" t="str">
        <f t="shared" si="3"/>
        <v/>
      </c>
    </row>
    <row r="205" ht="15.75" customHeight="1">
      <c r="G205" s="21"/>
      <c r="H205" s="21"/>
      <c r="I205" s="21" t="str">
        <f t="shared" si="4"/>
        <v/>
      </c>
      <c r="J205" s="21" t="str">
        <f t="shared" si="5"/>
        <v/>
      </c>
      <c r="K205" s="21" t="str">
        <f>IF(I205="","",IF(I205&lt;='Скали'!$B$1,"да","не"))</f>
        <v/>
      </c>
      <c r="L205" s="21"/>
      <c r="P205" s="21"/>
      <c r="Q205" s="21"/>
      <c r="R205" s="21" t="str">
        <f t="shared" si="3"/>
        <v/>
      </c>
    </row>
    <row r="206" ht="15.75" customHeight="1">
      <c r="G206" s="21"/>
      <c r="H206" s="21"/>
      <c r="I206" s="21" t="str">
        <f t="shared" si="4"/>
        <v/>
      </c>
      <c r="J206" s="21" t="str">
        <f t="shared" si="5"/>
        <v/>
      </c>
      <c r="K206" s="21" t="str">
        <f>IF(I206="","",IF(I206&lt;='Скали'!$B$1,"да","не"))</f>
        <v/>
      </c>
      <c r="L206" s="21"/>
      <c r="P206" s="21"/>
      <c r="Q206" s="21"/>
      <c r="R206" s="21" t="str">
        <f t="shared" si="3"/>
        <v/>
      </c>
    </row>
    <row r="207" ht="15.75" customHeight="1">
      <c r="G207" s="21"/>
      <c r="H207" s="21"/>
      <c r="I207" s="21" t="str">
        <f t="shared" si="4"/>
        <v/>
      </c>
      <c r="J207" s="21" t="str">
        <f t="shared" si="5"/>
        <v/>
      </c>
      <c r="K207" s="21" t="str">
        <f>IF(I207="","",IF(I207&lt;='Скали'!$B$1,"да","не"))</f>
        <v/>
      </c>
      <c r="L207" s="21"/>
      <c r="P207" s="21"/>
      <c r="Q207" s="21"/>
      <c r="R207" s="21" t="str">
        <f t="shared" si="3"/>
        <v/>
      </c>
    </row>
    <row r="208" ht="15.75" customHeight="1">
      <c r="G208" s="21"/>
      <c r="H208" s="21"/>
      <c r="I208" s="21" t="str">
        <f t="shared" si="4"/>
        <v/>
      </c>
      <c r="J208" s="21" t="str">
        <f t="shared" si="5"/>
        <v/>
      </c>
      <c r="K208" s="21" t="str">
        <f>IF(I208="","",IF(I208&lt;='Скали'!$B$1,"да","не"))</f>
        <v/>
      </c>
      <c r="L208" s="21"/>
      <c r="P208" s="21"/>
      <c r="Q208" s="21"/>
      <c r="R208" s="21" t="str">
        <f t="shared" si="3"/>
        <v/>
      </c>
    </row>
    <row r="209" ht="15.75" customHeight="1">
      <c r="G209" s="21"/>
      <c r="H209" s="21"/>
      <c r="I209" s="21" t="str">
        <f t="shared" si="4"/>
        <v/>
      </c>
      <c r="J209" s="21" t="str">
        <f t="shared" si="5"/>
        <v/>
      </c>
      <c r="K209" s="21" t="str">
        <f>IF(I209="","",IF(I209&lt;='Скали'!$B$1,"да","не"))</f>
        <v/>
      </c>
      <c r="L209" s="21"/>
      <c r="P209" s="21"/>
      <c r="Q209" s="21"/>
      <c r="R209" s="21" t="str">
        <f t="shared" si="3"/>
        <v/>
      </c>
    </row>
    <row r="210" ht="15.75" customHeight="1">
      <c r="G210" s="21"/>
      <c r="H210" s="21"/>
      <c r="I210" s="21" t="str">
        <f t="shared" si="4"/>
        <v/>
      </c>
      <c r="J210" s="21" t="str">
        <f t="shared" si="5"/>
        <v/>
      </c>
      <c r="K210" s="21" t="str">
        <f>IF(I210="","",IF(I210&lt;='Скали'!$B$1,"да","не"))</f>
        <v/>
      </c>
      <c r="L210" s="21"/>
      <c r="P210" s="21"/>
      <c r="Q210" s="21"/>
      <c r="R210" s="21" t="str">
        <f t="shared" si="3"/>
        <v/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210">
    <cfRule type="cellIs" dxfId="0" priority="1" operator="between">
      <formula>1</formula>
      <formula>4</formula>
    </cfRule>
  </conditionalFormatting>
  <conditionalFormatting sqref="I2:I210">
    <cfRule type="cellIs" dxfId="1" priority="2" operator="between">
      <formula>5</formula>
      <formula>9</formula>
    </cfRule>
  </conditionalFormatting>
  <conditionalFormatting sqref="I2:I210">
    <cfRule type="cellIs" dxfId="2" priority="3" operator="between">
      <formula>10</formula>
      <formula>15</formula>
    </cfRule>
  </conditionalFormatting>
  <conditionalFormatting sqref="I2:I210">
    <cfRule type="cellIs" dxfId="3" priority="4" operator="between">
      <formula>16</formula>
      <formula>25</formula>
    </cfRule>
  </conditionalFormatting>
  <conditionalFormatting sqref="R2:R210">
    <cfRule type="cellIs" dxfId="0" priority="5" operator="between">
      <formula>1</formula>
      <formula>4</formula>
    </cfRule>
  </conditionalFormatting>
  <conditionalFormatting sqref="R2:R210">
    <cfRule type="cellIs" dxfId="1" priority="6" operator="between">
      <formula>5</formula>
      <formula>9</formula>
    </cfRule>
  </conditionalFormatting>
  <conditionalFormatting sqref="R2:R210">
    <cfRule type="cellIs" dxfId="2" priority="7" operator="between">
      <formula>10</formula>
      <formula>15</formula>
    </cfRule>
  </conditionalFormatting>
  <conditionalFormatting sqref="R2:R210">
    <cfRule type="cellIs" dxfId="3" priority="8" operator="between">
      <formula>16</formula>
      <formula>25</formula>
    </cfRule>
  </conditionalFormatting>
  <dataValidations>
    <dataValidation type="list" allowBlank="1" sqref="G2:H210 P2:Q210">
      <formula1>"1,2,3,4,5"</formula1>
    </dataValidation>
    <dataValidation type="list" allowBlank="1" sqref="L2:L210">
      <formula1>"намаляване,прехвърляне,избягване,приемане"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34.0"/>
    <col customWidth="1" min="4" max="4" width="13.0"/>
    <col customWidth="1" min="5" max="5" width="18.0"/>
    <col customWidth="1" min="6" max="6" width="30.0"/>
    <col customWidth="1" min="7" max="7" width="14.0"/>
    <col customWidth="1" min="8" max="8" width="20.0"/>
    <col customWidth="1" min="9" max="11" width="12.0"/>
    <col customWidth="1" min="12" max="13" width="8.0"/>
    <col customWidth="1" min="14" max="14" width="11.0"/>
    <col customWidth="1" min="15" max="15" width="30.0"/>
    <col customWidth="1" min="16" max="26" width="8.71"/>
  </cols>
  <sheetData>
    <row r="1" ht="30.0" customHeight="1">
      <c r="A1" s="2" t="s">
        <v>3</v>
      </c>
      <c r="B1" s="2" t="s">
        <v>207</v>
      </c>
      <c r="C1" s="2" t="s">
        <v>208</v>
      </c>
      <c r="D1" s="2" t="s">
        <v>209</v>
      </c>
      <c r="E1" s="2" t="s">
        <v>210</v>
      </c>
      <c r="F1" s="2" t="s">
        <v>211</v>
      </c>
      <c r="G1" s="2" t="s">
        <v>212</v>
      </c>
      <c r="H1" s="2" t="s">
        <v>49</v>
      </c>
      <c r="I1" s="2" t="s">
        <v>55</v>
      </c>
      <c r="J1" s="2" t="s">
        <v>215</v>
      </c>
      <c r="K1" s="2" t="s">
        <v>217</v>
      </c>
      <c r="L1" s="2" t="s">
        <v>220</v>
      </c>
      <c r="M1" s="2" t="s">
        <v>221</v>
      </c>
      <c r="N1" s="2" t="s">
        <v>67</v>
      </c>
      <c r="O1" s="2" t="s">
        <v>222</v>
      </c>
    </row>
    <row r="2">
      <c r="A2" s="11" t="s">
        <v>79</v>
      </c>
      <c r="B2" s="11" t="s">
        <v>19</v>
      </c>
      <c r="C2" s="11" t="s">
        <v>223</v>
      </c>
      <c r="D2" s="20">
        <f t="array" ref="D2">IFERROR(INDEX('Регистър на риска'!$I:$I,MATCH(A2,'Регистър на риска'!$A:$A,0)),"")</f>
        <v>20</v>
      </c>
      <c r="E2" s="9" t="s">
        <v>192</v>
      </c>
      <c r="F2" s="11" t="s">
        <v>230</v>
      </c>
      <c r="G2" s="11" t="s">
        <v>231</v>
      </c>
      <c r="H2" s="9" t="str">
        <f>VLOOKUP(A2, 'Регистър на риска'!$A$1:$S$16, 13, FALSE)</f>
        <v>Системен администратор</v>
      </c>
      <c r="I2" s="9"/>
      <c r="J2" s="9"/>
      <c r="K2" s="9"/>
      <c r="L2" s="9">
        <v>2.0</v>
      </c>
      <c r="M2" s="9">
        <v>4.0</v>
      </c>
      <c r="N2" s="20">
        <f t="shared" ref="N2:N210" si="1">IF(OR(L2="",M2=""),"",L2*M2)</f>
        <v>8</v>
      </c>
      <c r="O2" s="15" t="s">
        <v>236</v>
      </c>
    </row>
    <row r="3">
      <c r="A3" s="11" t="s">
        <v>194</v>
      </c>
      <c r="B3" s="11" t="s">
        <v>128</v>
      </c>
      <c r="C3" s="11" t="s">
        <v>238</v>
      </c>
      <c r="D3" s="20">
        <f t="array" ref="D3">IFERROR(INDEX('Регистър на риска'!$I:$I,MATCH(A3,'Регистър на риска'!$A:$A,0)),"")</f>
        <v>15</v>
      </c>
      <c r="E3" s="11" t="s">
        <v>192</v>
      </c>
      <c r="F3" s="11" t="s">
        <v>244</v>
      </c>
      <c r="G3" s="11" t="s">
        <v>245</v>
      </c>
      <c r="H3" s="11" t="str">
        <f>VLOOKUP(A3, 'Регистър на риска'!$A$1:$S$16, 13, FALSE)</f>
        <v>Системен администратор</v>
      </c>
      <c r="I3" s="9"/>
      <c r="J3" s="9"/>
      <c r="K3" s="9"/>
      <c r="L3" s="9">
        <v>2.0</v>
      </c>
      <c r="M3" s="9">
        <v>2.0</v>
      </c>
      <c r="N3" s="20">
        <f t="shared" si="1"/>
        <v>4</v>
      </c>
      <c r="O3" s="15" t="s">
        <v>249</v>
      </c>
    </row>
    <row r="4">
      <c r="A4" s="11" t="s">
        <v>201</v>
      </c>
      <c r="B4" s="11" t="s">
        <v>139</v>
      </c>
      <c r="C4" s="11" t="s">
        <v>252</v>
      </c>
      <c r="D4" s="20">
        <f t="array" ref="D4">IFERROR(INDEX('Регистър на риска'!$I:$I,MATCH(A4,'Регистър на риска'!$A:$A,0)),"")</f>
        <v>16</v>
      </c>
      <c r="E4" s="11" t="s">
        <v>192</v>
      </c>
      <c r="F4" s="11" t="s">
        <v>253</v>
      </c>
      <c r="G4" s="11" t="s">
        <v>254</v>
      </c>
      <c r="H4" s="11" t="str">
        <f>VLOOKUP(A4, 'Регистър на риска'!$A$1:$S$16, 13, FALSE)</f>
        <v>Ръководител ИТ</v>
      </c>
      <c r="I4" s="9"/>
      <c r="J4" s="9"/>
      <c r="K4" s="9"/>
      <c r="L4" s="9"/>
      <c r="M4" s="9"/>
      <c r="N4" s="20" t="str">
        <f t="shared" si="1"/>
        <v/>
      </c>
      <c r="O4" s="9"/>
    </row>
    <row r="5">
      <c r="A5" s="11" t="s">
        <v>213</v>
      </c>
      <c r="B5" s="11" t="s">
        <v>118</v>
      </c>
      <c r="C5" s="11" t="s">
        <v>260</v>
      </c>
      <c r="D5" s="20">
        <f t="array" ref="D5">IFERROR(INDEX('Регистър на риска'!$I:$I,MATCH(A5,'Регистър на риска'!$A:$A,0)),"")</f>
        <v>12</v>
      </c>
      <c r="E5" s="11" t="s">
        <v>192</v>
      </c>
      <c r="F5" s="11" t="s">
        <v>261</v>
      </c>
      <c r="G5" s="11" t="s">
        <v>262</v>
      </c>
      <c r="H5" s="11" t="str">
        <f>VLOOKUP(A5, 'Регистър на риска'!$A$1:$S$16, 13, FALSE)</f>
        <v>Системен администратор</v>
      </c>
      <c r="I5" s="9"/>
      <c r="J5" s="9"/>
      <c r="K5" s="9"/>
      <c r="L5" s="9"/>
      <c r="M5" s="9"/>
      <c r="N5" s="20" t="str">
        <f t="shared" si="1"/>
        <v/>
      </c>
      <c r="O5" s="9"/>
    </row>
    <row r="6">
      <c r="A6" s="11" t="s">
        <v>224</v>
      </c>
      <c r="B6" s="11" t="s">
        <v>65</v>
      </c>
      <c r="C6" s="11" t="s">
        <v>269</v>
      </c>
      <c r="D6" s="20">
        <f t="array" ref="D6">IFERROR(INDEX('Регистър на риска'!$I:$I,MATCH(A6,'Регистър на риска'!$A:$A,0)),"")</f>
        <v>12</v>
      </c>
      <c r="E6" s="11" t="s">
        <v>192</v>
      </c>
      <c r="F6" s="11" t="s">
        <v>276</v>
      </c>
      <c r="G6" s="11" t="s">
        <v>277</v>
      </c>
      <c r="H6" s="11" t="str">
        <f>VLOOKUP(A6, 'Регистър на риска'!$A$1:$S$16, 13, FALSE)</f>
        <v>Системен администратор</v>
      </c>
      <c r="I6" s="9"/>
      <c r="J6" s="9"/>
      <c r="K6" s="9"/>
      <c r="L6" s="9"/>
      <c r="M6" s="9"/>
      <c r="N6" s="20" t="str">
        <f t="shared" si="1"/>
        <v/>
      </c>
      <c r="O6" s="9"/>
    </row>
    <row r="7">
      <c r="A7" s="11" t="s">
        <v>232</v>
      </c>
      <c r="B7" s="11" t="s">
        <v>65</v>
      </c>
      <c r="C7" s="11" t="s">
        <v>278</v>
      </c>
      <c r="D7" s="20">
        <f t="array" ref="D7">IFERROR(INDEX('Регистър на риска'!$I:$I,MATCH(A7,'Регистър на риска'!$A:$A,0)),"")</f>
        <v>6</v>
      </c>
      <c r="E7" s="11" t="s">
        <v>237</v>
      </c>
      <c r="F7" s="11" t="s">
        <v>284</v>
      </c>
      <c r="G7" s="11" t="s">
        <v>284</v>
      </c>
      <c r="H7" s="9" t="str">
        <f>VLOOKUP(A7, 'Регистър на риска'!$A$1:$S$16, 13, FALSE)</f>
        <v>Ръководител ИТ</v>
      </c>
      <c r="I7" s="9"/>
      <c r="J7" s="9"/>
      <c r="K7" s="9"/>
      <c r="L7" s="9"/>
      <c r="M7" s="9"/>
      <c r="N7" s="20" t="str">
        <f t="shared" si="1"/>
        <v/>
      </c>
      <c r="O7" s="9"/>
    </row>
    <row r="8">
      <c r="A8" s="11" t="s">
        <v>239</v>
      </c>
      <c r="B8" s="11" t="s">
        <v>89</v>
      </c>
      <c r="C8" s="11" t="s">
        <v>290</v>
      </c>
      <c r="D8" s="20">
        <f t="array" ref="D8">IFERROR(INDEX('Регистър на риска'!$I:$I,MATCH(A8,'Регистър на риска'!$A:$A,0)),"")</f>
        <v>12</v>
      </c>
      <c r="E8" s="11" t="s">
        <v>192</v>
      </c>
      <c r="F8" s="11" t="s">
        <v>292</v>
      </c>
      <c r="G8" s="11" t="s">
        <v>293</v>
      </c>
      <c r="H8" s="9" t="str">
        <f>VLOOKUP(A8, 'Регистър на риска'!$A$1:$S$16, 13, FALSE)</f>
        <v>Ръководител ИТ</v>
      </c>
      <c r="I8" s="9"/>
      <c r="J8" s="9"/>
      <c r="K8" s="9"/>
      <c r="L8" s="9"/>
      <c r="M8" s="9"/>
      <c r="N8" s="20" t="str">
        <f t="shared" si="1"/>
        <v/>
      </c>
      <c r="O8" s="9"/>
    </row>
    <row r="9">
      <c r="A9" s="11" t="s">
        <v>246</v>
      </c>
      <c r="B9" s="11" t="s">
        <v>148</v>
      </c>
      <c r="C9" s="11" t="s">
        <v>299</v>
      </c>
      <c r="D9" s="20">
        <f t="array" ref="D9">IFERROR(INDEX('Регистър на риска'!$I:$I,MATCH(A9,'Регистър на риска'!$A:$A,0)),"")</f>
        <v>6</v>
      </c>
      <c r="E9" s="11" t="s">
        <v>237</v>
      </c>
      <c r="F9" s="11" t="s">
        <v>284</v>
      </c>
      <c r="G9" s="11" t="s">
        <v>284</v>
      </c>
      <c r="H9" s="11" t="str">
        <f>VLOOKUP(A9, 'Регистър на риска'!$A$1:$S$16, 13, FALSE)</f>
        <v>Системен администратор</v>
      </c>
      <c r="I9" s="9"/>
      <c r="J9" s="9"/>
      <c r="K9" s="9"/>
      <c r="L9" s="9"/>
      <c r="M9" s="9"/>
      <c r="N9" s="20" t="str">
        <f t="shared" si="1"/>
        <v/>
      </c>
      <c r="O9" s="9"/>
    </row>
    <row r="10">
      <c r="A10" s="11" t="s">
        <v>255</v>
      </c>
      <c r="B10" s="11" t="s">
        <v>154</v>
      </c>
      <c r="C10" s="11" t="s">
        <v>300</v>
      </c>
      <c r="D10" s="20">
        <f t="array" ref="D10">IFERROR(INDEX('Регистър на риска'!$I:$I,MATCH(A10,'Регистър на риска'!$A:$A,0)),"")</f>
        <v>12</v>
      </c>
      <c r="E10" s="11" t="s">
        <v>192</v>
      </c>
      <c r="F10" s="11" t="s">
        <v>301</v>
      </c>
      <c r="G10" s="11" t="s">
        <v>302</v>
      </c>
      <c r="H10" s="11" t="str">
        <f>VLOOKUP(A10, 'Регистър на риска'!$A$1:$S$16, 13, FALSE)</f>
        <v>Системен администратор</v>
      </c>
      <c r="I10" s="9"/>
      <c r="J10" s="9"/>
      <c r="K10" s="9"/>
      <c r="L10" s="9"/>
      <c r="M10" s="9"/>
      <c r="N10" s="20" t="str">
        <f t="shared" si="1"/>
        <v/>
      </c>
      <c r="O10" s="9"/>
    </row>
    <row r="11">
      <c r="A11" s="11" t="s">
        <v>263</v>
      </c>
      <c r="B11" s="11" t="s">
        <v>163</v>
      </c>
      <c r="C11" s="11" t="s">
        <v>303</v>
      </c>
      <c r="D11" s="20">
        <f t="array" ref="D11">IFERROR(INDEX('Регистър на риска'!$I:$I,MATCH(A11,'Регистър на риска'!$A:$A,0)),"")</f>
        <v>10</v>
      </c>
      <c r="E11" s="11" t="s">
        <v>192</v>
      </c>
      <c r="F11" s="11" t="s">
        <v>304</v>
      </c>
      <c r="G11" s="11" t="s">
        <v>305</v>
      </c>
      <c r="H11" s="9" t="str">
        <f>VLOOKUP(A11, 'Регистър на риска'!$A$1:$S$16, 13, FALSE)</f>
        <v>Ръководител ИТ</v>
      </c>
      <c r="I11" s="9"/>
      <c r="J11" s="9"/>
      <c r="K11" s="9"/>
      <c r="L11" s="9"/>
      <c r="M11" s="9"/>
      <c r="N11" s="20" t="str">
        <f t="shared" si="1"/>
        <v/>
      </c>
      <c r="O11" s="9"/>
    </row>
    <row r="12">
      <c r="A12" s="11" t="s">
        <v>270</v>
      </c>
      <c r="B12" s="11" t="s">
        <v>176</v>
      </c>
      <c r="C12" s="11" t="s">
        <v>306</v>
      </c>
      <c r="D12" s="20">
        <f t="array" ref="D12">IFERROR(INDEX('Регистър на риска'!$I:$I,MATCH(A12,'Регистър на риска'!$A:$A,0)),"")</f>
        <v>8</v>
      </c>
      <c r="E12" s="11" t="s">
        <v>237</v>
      </c>
      <c r="F12" s="11" t="s">
        <v>284</v>
      </c>
      <c r="G12" s="11" t="s">
        <v>284</v>
      </c>
      <c r="H12" s="9" t="str">
        <f>VLOOKUP(A12, 'Регистър на риска'!$A$1:$S$16, 13, FALSE)</f>
        <v>Системен администратор</v>
      </c>
      <c r="I12" s="9"/>
      <c r="J12" s="9"/>
      <c r="K12" s="9"/>
      <c r="L12" s="9"/>
      <c r="M12" s="9"/>
      <c r="N12" s="20" t="str">
        <f t="shared" si="1"/>
        <v/>
      </c>
      <c r="O12" s="9"/>
    </row>
    <row r="13">
      <c r="A13" s="11" t="s">
        <v>279</v>
      </c>
      <c r="B13" s="11" t="s">
        <v>179</v>
      </c>
      <c r="C13" s="11" t="s">
        <v>307</v>
      </c>
      <c r="D13" s="20">
        <f t="array" ref="D13">IFERROR(INDEX('Регистър на риска'!$I:$I,MATCH(A13,'Регистър на риска'!$A:$A,0)),"")</f>
        <v>12</v>
      </c>
      <c r="E13" s="11" t="s">
        <v>192</v>
      </c>
      <c r="F13" s="11" t="s">
        <v>308</v>
      </c>
      <c r="G13" s="11" t="s">
        <v>309</v>
      </c>
      <c r="H13" s="9" t="str">
        <f>VLOOKUP(A13, 'Регистър на риска'!$A$1:$S$16, 13, FALSE)</f>
        <v>Управител</v>
      </c>
      <c r="I13" s="9"/>
      <c r="J13" s="9"/>
      <c r="K13" s="9"/>
      <c r="L13" s="9"/>
      <c r="M13" s="9"/>
      <c r="N13" s="20" t="str">
        <f t="shared" si="1"/>
        <v/>
      </c>
      <c r="O13" s="9"/>
    </row>
    <row r="14">
      <c r="A14" s="11" t="s">
        <v>285</v>
      </c>
      <c r="B14" s="11" t="s">
        <v>183</v>
      </c>
      <c r="C14" s="11" t="s">
        <v>310</v>
      </c>
      <c r="D14" s="20">
        <f t="array" ref="D14">IFERROR(INDEX('Регистър на риска'!$I:$I,MATCH(A14,'Регистър на риска'!$A:$A,0)),"")</f>
        <v>12</v>
      </c>
      <c r="E14" s="11" t="s">
        <v>291</v>
      </c>
      <c r="F14" s="11" t="s">
        <v>311</v>
      </c>
      <c r="G14" s="11" t="s">
        <v>312</v>
      </c>
      <c r="H14" s="9" t="str">
        <f>VLOOKUP(A14, 'Регистър на риска'!$A$1:$S$16, 13, FALSE)</f>
        <v>Управител</v>
      </c>
      <c r="I14" s="9"/>
      <c r="J14" s="9"/>
      <c r="K14" s="9"/>
      <c r="L14" s="9"/>
      <c r="M14" s="9"/>
      <c r="N14" s="20" t="str">
        <f t="shared" si="1"/>
        <v/>
      </c>
      <c r="O14" s="9"/>
    </row>
    <row r="15">
      <c r="A15" s="11" t="s">
        <v>294</v>
      </c>
      <c r="B15" s="11" t="s">
        <v>187</v>
      </c>
      <c r="C15" s="11" t="s">
        <v>313</v>
      </c>
      <c r="D15" s="20">
        <f t="array" ref="D15">IFERROR(INDEX('Регистър на риска'!$I:$I,MATCH(A15,'Регистър на риска'!$A:$A,0)),"")</f>
        <v>9</v>
      </c>
      <c r="E15" s="11" t="s">
        <v>237</v>
      </c>
      <c r="F15" s="11" t="s">
        <v>284</v>
      </c>
      <c r="G15" s="11" t="s">
        <v>284</v>
      </c>
      <c r="H15" s="9" t="str">
        <f>VLOOKUP(A15, 'Регистър на риска'!$A$1:$S$16, 13, FALSE)</f>
        <v>Системен администратор</v>
      </c>
      <c r="I15" s="9"/>
      <c r="J15" s="9"/>
      <c r="K15" s="9"/>
      <c r="L15" s="9"/>
      <c r="M15" s="9"/>
      <c r="N15" s="20" t="str">
        <f t="shared" si="1"/>
        <v/>
      </c>
      <c r="O15" s="9"/>
    </row>
    <row r="16">
      <c r="A16" s="11"/>
      <c r="B16" s="11"/>
      <c r="C16" s="11"/>
      <c r="D16" s="20" t="str">
        <f t="array" ref="D16">IFERROR(INDEX('Регистър на риска'!$I:$I,MATCH(A16,'Регистър на риска'!$A:$A,0)),"")</f>
        <v/>
      </c>
      <c r="E16" s="11"/>
      <c r="F16" s="11"/>
      <c r="G16" s="11"/>
      <c r="H16" s="9"/>
      <c r="I16" s="9"/>
      <c r="J16" s="9"/>
      <c r="K16" s="9"/>
      <c r="L16" s="9"/>
      <c r="M16" s="9"/>
      <c r="N16" s="20" t="str">
        <f t="shared" si="1"/>
        <v/>
      </c>
      <c r="O16" s="9"/>
    </row>
    <row r="17">
      <c r="A17" s="9"/>
      <c r="B17" s="9"/>
      <c r="C17" s="9"/>
      <c r="D17" s="20" t="str">
        <f t="array" ref="D17">IFERROR(INDEX('Регистър на риска'!$I:$I,MATCH(A17,'Регистър на риска'!$A:$A,0)),"")</f>
        <v/>
      </c>
      <c r="E17" s="9"/>
      <c r="F17" s="9"/>
      <c r="G17" s="9"/>
      <c r="H17" s="9"/>
      <c r="I17" s="9"/>
      <c r="J17" s="9"/>
      <c r="K17" s="9"/>
      <c r="L17" s="9"/>
      <c r="M17" s="9"/>
      <c r="N17" s="20" t="str">
        <f t="shared" si="1"/>
        <v/>
      </c>
      <c r="O17" s="9"/>
    </row>
    <row r="18">
      <c r="A18" s="9"/>
      <c r="B18" s="9"/>
      <c r="C18" s="9"/>
      <c r="D18" s="20" t="str">
        <f t="array" ref="D18">IFERROR(INDEX('Регистър на риска'!$I:$I,MATCH(A18,'Регистър на риска'!$A:$A,0)),"")</f>
        <v/>
      </c>
      <c r="E18" s="9"/>
      <c r="F18" s="9"/>
      <c r="G18" s="9"/>
      <c r="H18" s="9"/>
      <c r="I18" s="9"/>
      <c r="J18" s="9"/>
      <c r="K18" s="9"/>
      <c r="L18" s="9"/>
      <c r="M18" s="9"/>
      <c r="N18" s="20" t="str">
        <f t="shared" si="1"/>
        <v/>
      </c>
      <c r="O18" s="9"/>
    </row>
    <row r="19">
      <c r="A19" s="9"/>
      <c r="B19" s="9"/>
      <c r="C19" s="9"/>
      <c r="D19" s="20" t="str">
        <f t="array" ref="D19">IFERROR(INDEX('Регистър на риска'!$I:$I,MATCH(A19,'Регистър на риска'!$A:$A,0)),"")</f>
        <v/>
      </c>
      <c r="E19" s="9"/>
      <c r="F19" s="9"/>
      <c r="G19" s="9"/>
      <c r="H19" s="9"/>
      <c r="I19" s="9"/>
      <c r="J19" s="9"/>
      <c r="K19" s="9"/>
      <c r="L19" s="9"/>
      <c r="M19" s="9"/>
      <c r="N19" s="20" t="str">
        <f t="shared" si="1"/>
        <v/>
      </c>
      <c r="O19" s="9"/>
    </row>
    <row r="20">
      <c r="A20" s="9"/>
      <c r="B20" s="9"/>
      <c r="C20" s="9"/>
      <c r="D20" s="20" t="str">
        <f t="array" ref="D20">IFERROR(INDEX('Регистър на риска'!$I:$I,MATCH(A20,'Регистър на риска'!$A:$A,0)),"")</f>
        <v/>
      </c>
      <c r="E20" s="9"/>
      <c r="F20" s="9"/>
      <c r="G20" s="9"/>
      <c r="H20" s="9"/>
      <c r="I20" s="9"/>
      <c r="J20" s="9"/>
      <c r="K20" s="9"/>
      <c r="L20" s="9"/>
      <c r="M20" s="9"/>
      <c r="N20" s="20" t="str">
        <f t="shared" si="1"/>
        <v/>
      </c>
      <c r="O20" s="9"/>
    </row>
    <row r="21" ht="15.75" customHeight="1">
      <c r="A21" s="9"/>
      <c r="B21" s="9"/>
      <c r="C21" s="9"/>
      <c r="D21" s="20" t="str">
        <f t="array" ref="D21">IFERROR(INDEX('Регистър на риска'!$I:$I,MATCH(A21,'Регистър на риска'!$A:$A,0)),"")</f>
        <v/>
      </c>
      <c r="E21" s="9"/>
      <c r="F21" s="9"/>
      <c r="G21" s="9"/>
      <c r="H21" s="9"/>
      <c r="I21" s="9"/>
      <c r="J21" s="9"/>
      <c r="K21" s="9"/>
      <c r="L21" s="9"/>
      <c r="M21" s="9"/>
      <c r="N21" s="20" t="str">
        <f t="shared" si="1"/>
        <v/>
      </c>
      <c r="O21" s="9"/>
    </row>
    <row r="22" ht="15.75" customHeight="1">
      <c r="A22" s="9"/>
      <c r="B22" s="9"/>
      <c r="C22" s="9"/>
      <c r="D22" s="20" t="str">
        <f t="array" ref="D22">IFERROR(INDEX('Регистър на риска'!$I:$I,MATCH(A22,'Регистър на риска'!$A:$A,0)),"")</f>
        <v/>
      </c>
      <c r="E22" s="9"/>
      <c r="F22" s="9"/>
      <c r="G22" s="9"/>
      <c r="H22" s="9"/>
      <c r="I22" s="9"/>
      <c r="J22" s="9"/>
      <c r="K22" s="9"/>
      <c r="L22" s="9"/>
      <c r="M22" s="9"/>
      <c r="N22" s="20" t="str">
        <f t="shared" si="1"/>
        <v/>
      </c>
      <c r="O22" s="9"/>
    </row>
    <row r="23" ht="15.75" customHeight="1">
      <c r="A23" s="9"/>
      <c r="B23" s="9"/>
      <c r="C23" s="9"/>
      <c r="D23" s="20" t="str">
        <f t="array" ref="D23">IFERROR(INDEX('Регистър на риска'!$I:$I,MATCH(A23,'Регистър на риска'!$A:$A,0)),"")</f>
        <v/>
      </c>
      <c r="E23" s="9"/>
      <c r="F23" s="9"/>
      <c r="G23" s="9"/>
      <c r="H23" s="9"/>
      <c r="I23" s="9"/>
      <c r="J23" s="9"/>
      <c r="K23" s="9"/>
      <c r="L23" s="9"/>
      <c r="M23" s="9"/>
      <c r="N23" s="20" t="str">
        <f t="shared" si="1"/>
        <v/>
      </c>
      <c r="O23" s="9"/>
    </row>
    <row r="24" ht="15.75" customHeight="1">
      <c r="A24" s="9"/>
      <c r="B24" s="9"/>
      <c r="C24" s="9"/>
      <c r="D24" s="20" t="str">
        <f t="array" ref="D24">IFERROR(INDEX('Регистър на риска'!$I:$I,MATCH(A24,'Регистър на риска'!$A:$A,0)),"")</f>
        <v/>
      </c>
      <c r="E24" s="9"/>
      <c r="F24" s="9"/>
      <c r="G24" s="9"/>
      <c r="H24" s="9"/>
      <c r="I24" s="9"/>
      <c r="J24" s="9"/>
      <c r="K24" s="9"/>
      <c r="L24" s="9"/>
      <c r="M24" s="9"/>
      <c r="N24" s="20" t="str">
        <f t="shared" si="1"/>
        <v/>
      </c>
      <c r="O24" s="9"/>
    </row>
    <row r="25" ht="15.75" customHeight="1">
      <c r="A25" s="9"/>
      <c r="B25" s="9"/>
      <c r="C25" s="9"/>
      <c r="D25" s="20" t="str">
        <f t="array" ref="D25">IFERROR(INDEX('Регистър на риска'!$I:$I,MATCH(A25,'Регистър на риска'!$A:$A,0)),"")</f>
        <v/>
      </c>
      <c r="E25" s="9"/>
      <c r="F25" s="9"/>
      <c r="G25" s="9"/>
      <c r="H25" s="9"/>
      <c r="I25" s="9"/>
      <c r="J25" s="9"/>
      <c r="K25" s="9"/>
      <c r="L25" s="9"/>
      <c r="M25" s="9"/>
      <c r="N25" s="20" t="str">
        <f t="shared" si="1"/>
        <v/>
      </c>
      <c r="O25" s="9"/>
    </row>
    <row r="26" ht="15.75" customHeight="1">
      <c r="A26" s="9"/>
      <c r="B26" s="9"/>
      <c r="C26" s="9"/>
      <c r="D26" s="20" t="str">
        <f t="array" ref="D26">IFERROR(INDEX('Регистър на риска'!$I:$I,MATCH(A26,'Регистър на риска'!$A:$A,0)),"")</f>
        <v/>
      </c>
      <c r="E26" s="9"/>
      <c r="F26" s="9"/>
      <c r="G26" s="9"/>
      <c r="H26" s="9"/>
      <c r="I26" s="9"/>
      <c r="J26" s="9"/>
      <c r="K26" s="9"/>
      <c r="L26" s="9"/>
      <c r="M26" s="9"/>
      <c r="N26" s="20" t="str">
        <f t="shared" si="1"/>
        <v/>
      </c>
      <c r="O26" s="9"/>
    </row>
    <row r="27" ht="15.75" customHeight="1">
      <c r="A27" s="9"/>
      <c r="B27" s="9"/>
      <c r="C27" s="9"/>
      <c r="D27" s="20" t="str">
        <f t="array" ref="D27">IFERROR(INDEX('Регистър на риска'!$I:$I,MATCH(A27,'Регистър на риска'!$A:$A,0)),"")</f>
        <v/>
      </c>
      <c r="E27" s="9"/>
      <c r="F27" s="9"/>
      <c r="G27" s="9"/>
      <c r="H27" s="9"/>
      <c r="I27" s="9"/>
      <c r="J27" s="9"/>
      <c r="K27" s="9"/>
      <c r="L27" s="9"/>
      <c r="M27" s="9"/>
      <c r="N27" s="20" t="str">
        <f t="shared" si="1"/>
        <v/>
      </c>
      <c r="O27" s="9"/>
    </row>
    <row r="28" ht="15.75" customHeight="1">
      <c r="A28" s="9"/>
      <c r="B28" s="9"/>
      <c r="C28" s="9"/>
      <c r="D28" s="20" t="str">
        <f t="array" ref="D28">IFERROR(INDEX('Регистър на риска'!$I:$I,MATCH(A28,'Регистър на риска'!$A:$A,0)),"")</f>
        <v/>
      </c>
      <c r="E28" s="9"/>
      <c r="F28" s="9"/>
      <c r="G28" s="9"/>
      <c r="H28" s="9"/>
      <c r="I28" s="9"/>
      <c r="J28" s="9"/>
      <c r="K28" s="9"/>
      <c r="L28" s="9"/>
      <c r="M28" s="9"/>
      <c r="N28" s="20" t="str">
        <f t="shared" si="1"/>
        <v/>
      </c>
      <c r="O28" s="9"/>
    </row>
    <row r="29" ht="15.75" customHeight="1">
      <c r="A29" s="9"/>
      <c r="B29" s="9"/>
      <c r="C29" s="9"/>
      <c r="D29" s="20" t="str">
        <f t="array" ref="D29">IFERROR(INDEX('Регистър на риска'!$I:$I,MATCH(A29,'Регистър на риска'!$A:$A,0)),"")</f>
        <v/>
      </c>
      <c r="E29" s="9"/>
      <c r="F29" s="9"/>
      <c r="G29" s="9"/>
      <c r="H29" s="9"/>
      <c r="I29" s="9"/>
      <c r="J29" s="9"/>
      <c r="K29" s="9"/>
      <c r="L29" s="9"/>
      <c r="M29" s="9"/>
      <c r="N29" s="20" t="str">
        <f t="shared" si="1"/>
        <v/>
      </c>
      <c r="O29" s="9"/>
    </row>
    <row r="30" ht="15.75" customHeight="1">
      <c r="A30" s="9"/>
      <c r="B30" s="9"/>
      <c r="C30" s="9"/>
      <c r="D30" s="20" t="str">
        <f t="array" ref="D30">IFERROR(INDEX('Регистър на риска'!$I:$I,MATCH(A30,'Регистър на риска'!$A:$A,0)),"")</f>
        <v/>
      </c>
      <c r="E30" s="9"/>
      <c r="F30" s="9"/>
      <c r="G30" s="9"/>
      <c r="H30" s="9"/>
      <c r="I30" s="9"/>
      <c r="J30" s="9"/>
      <c r="K30" s="9"/>
      <c r="L30" s="9"/>
      <c r="M30" s="9"/>
      <c r="N30" s="20" t="str">
        <f t="shared" si="1"/>
        <v/>
      </c>
      <c r="O30" s="9"/>
    </row>
    <row r="31" ht="15.75" customHeight="1">
      <c r="A31" s="9"/>
      <c r="B31" s="9"/>
      <c r="C31" s="9"/>
      <c r="D31" s="20" t="str">
        <f t="array" ref="D31">IFERROR(INDEX('Регистър на риска'!$I:$I,MATCH(A31,'Регистър на риска'!$A:$A,0)),"")</f>
        <v/>
      </c>
      <c r="E31" s="9"/>
      <c r="F31" s="9"/>
      <c r="G31" s="9"/>
      <c r="H31" s="9"/>
      <c r="I31" s="9"/>
      <c r="J31" s="9"/>
      <c r="K31" s="9"/>
      <c r="L31" s="9"/>
      <c r="M31" s="9"/>
      <c r="N31" s="20" t="str">
        <f t="shared" si="1"/>
        <v/>
      </c>
      <c r="O31" s="9"/>
    </row>
    <row r="32" ht="15.75" customHeight="1">
      <c r="A32" s="9"/>
      <c r="B32" s="9"/>
      <c r="C32" s="9"/>
      <c r="D32" s="20" t="str">
        <f t="array" ref="D32">IFERROR(INDEX('Регистър на риска'!$I:$I,MATCH(A32,'Регистър на риска'!$A:$A,0)),"")</f>
        <v/>
      </c>
      <c r="E32" s="9"/>
      <c r="F32" s="9"/>
      <c r="G32" s="9"/>
      <c r="H32" s="9"/>
      <c r="I32" s="9"/>
      <c r="J32" s="9"/>
      <c r="K32" s="9"/>
      <c r="L32" s="9"/>
      <c r="M32" s="9"/>
      <c r="N32" s="20" t="str">
        <f t="shared" si="1"/>
        <v/>
      </c>
      <c r="O32" s="9"/>
    </row>
    <row r="33" ht="15.75" customHeight="1">
      <c r="A33" s="9"/>
      <c r="B33" s="9"/>
      <c r="C33" s="9"/>
      <c r="D33" s="20" t="str">
        <f t="array" ref="D33">IFERROR(INDEX('Регистър на риска'!$I:$I,MATCH(A33,'Регистър на риска'!$A:$A,0)),"")</f>
        <v/>
      </c>
      <c r="E33" s="9"/>
      <c r="F33" s="9"/>
      <c r="G33" s="9"/>
      <c r="H33" s="9"/>
      <c r="I33" s="9"/>
      <c r="J33" s="9"/>
      <c r="K33" s="9"/>
      <c r="L33" s="9"/>
      <c r="M33" s="9"/>
      <c r="N33" s="20" t="str">
        <f t="shared" si="1"/>
        <v/>
      </c>
      <c r="O33" s="9"/>
    </row>
    <row r="34" ht="15.75" customHeight="1">
      <c r="A34" s="9"/>
      <c r="B34" s="9"/>
      <c r="C34" s="9"/>
      <c r="D34" s="20" t="str">
        <f t="array" ref="D34">IFERROR(INDEX('Регистър на риска'!$I:$I,MATCH(A34,'Регистър на риска'!$A:$A,0)),"")</f>
        <v/>
      </c>
      <c r="E34" s="9"/>
      <c r="F34" s="9"/>
      <c r="G34" s="9"/>
      <c r="H34" s="9"/>
      <c r="I34" s="9"/>
      <c r="J34" s="9"/>
      <c r="K34" s="9"/>
      <c r="L34" s="9"/>
      <c r="M34" s="9"/>
      <c r="N34" s="20" t="str">
        <f t="shared" si="1"/>
        <v/>
      </c>
      <c r="O34" s="9"/>
    </row>
    <row r="35" ht="15.75" customHeight="1">
      <c r="A35" s="9"/>
      <c r="B35" s="9"/>
      <c r="C35" s="9"/>
      <c r="D35" s="20" t="str">
        <f t="array" ref="D35">IFERROR(INDEX('Регистър на риска'!$I:$I,MATCH(A35,'Регистър на риска'!$A:$A,0)),"")</f>
        <v/>
      </c>
      <c r="E35" s="9"/>
      <c r="F35" s="9"/>
      <c r="G35" s="9"/>
      <c r="H35" s="9"/>
      <c r="I35" s="9"/>
      <c r="J35" s="9"/>
      <c r="K35" s="9"/>
      <c r="L35" s="9"/>
      <c r="M35" s="9"/>
      <c r="N35" s="20" t="str">
        <f t="shared" si="1"/>
        <v/>
      </c>
      <c r="O35" s="9"/>
    </row>
    <row r="36" ht="15.75" customHeight="1">
      <c r="A36" s="9"/>
      <c r="B36" s="9"/>
      <c r="C36" s="9"/>
      <c r="D36" s="20" t="str">
        <f t="array" ref="D36">IFERROR(INDEX('Регистър на риска'!$I:$I,MATCH(A36,'Регистър на риска'!$A:$A,0)),"")</f>
        <v/>
      </c>
      <c r="E36" s="9"/>
      <c r="F36" s="9"/>
      <c r="G36" s="9"/>
      <c r="H36" s="9"/>
      <c r="I36" s="9"/>
      <c r="J36" s="9"/>
      <c r="K36" s="9"/>
      <c r="L36" s="9"/>
      <c r="M36" s="9"/>
      <c r="N36" s="20" t="str">
        <f t="shared" si="1"/>
        <v/>
      </c>
      <c r="O36" s="9"/>
    </row>
    <row r="37" ht="15.75" customHeight="1">
      <c r="A37" s="9"/>
      <c r="B37" s="9"/>
      <c r="C37" s="9"/>
      <c r="D37" s="20" t="str">
        <f t="array" ref="D37">IFERROR(INDEX('Регистър на риска'!$I:$I,MATCH(A37,'Регистър на риска'!$A:$A,0)),"")</f>
        <v/>
      </c>
      <c r="E37" s="9"/>
      <c r="F37" s="9"/>
      <c r="G37" s="9"/>
      <c r="H37" s="9"/>
      <c r="I37" s="9"/>
      <c r="J37" s="9"/>
      <c r="K37" s="9"/>
      <c r="L37" s="9"/>
      <c r="M37" s="9"/>
      <c r="N37" s="20" t="str">
        <f t="shared" si="1"/>
        <v/>
      </c>
      <c r="O37" s="9"/>
    </row>
    <row r="38" ht="15.75" customHeight="1">
      <c r="A38" s="9"/>
      <c r="B38" s="9"/>
      <c r="C38" s="9"/>
      <c r="D38" s="20" t="str">
        <f t="array" ref="D38">IFERROR(INDEX('Регистър на риска'!$I:$I,MATCH(A38,'Регистър на риска'!$A:$A,0)),"")</f>
        <v/>
      </c>
      <c r="E38" s="9"/>
      <c r="F38" s="9"/>
      <c r="G38" s="9"/>
      <c r="H38" s="9"/>
      <c r="I38" s="9"/>
      <c r="J38" s="9"/>
      <c r="K38" s="9"/>
      <c r="L38" s="9"/>
      <c r="M38" s="9"/>
      <c r="N38" s="20" t="str">
        <f t="shared" si="1"/>
        <v/>
      </c>
      <c r="O38" s="9"/>
    </row>
    <row r="39" ht="15.75" customHeight="1">
      <c r="A39" s="9"/>
      <c r="B39" s="9"/>
      <c r="C39" s="9"/>
      <c r="D39" s="20" t="str">
        <f t="array" ref="D39">IFERROR(INDEX('Регистър на риска'!$I:$I,MATCH(A39,'Регистър на риска'!$A:$A,0)),"")</f>
        <v/>
      </c>
      <c r="E39" s="9"/>
      <c r="F39" s="9"/>
      <c r="G39" s="9"/>
      <c r="H39" s="9"/>
      <c r="I39" s="9"/>
      <c r="J39" s="9"/>
      <c r="K39" s="9"/>
      <c r="L39" s="9"/>
      <c r="M39" s="9"/>
      <c r="N39" s="20" t="str">
        <f t="shared" si="1"/>
        <v/>
      </c>
      <c r="O39" s="9"/>
    </row>
    <row r="40" ht="15.75" customHeight="1">
      <c r="A40" s="9"/>
      <c r="B40" s="9"/>
      <c r="C40" s="9"/>
      <c r="D40" s="20" t="str">
        <f t="array" ref="D40">IFERROR(INDEX('Регистър на риска'!$I:$I,MATCH(A40,'Регистър на риска'!$A:$A,0)),"")</f>
        <v/>
      </c>
      <c r="E40" s="9"/>
      <c r="F40" s="9"/>
      <c r="G40" s="9"/>
      <c r="H40" s="9"/>
      <c r="I40" s="9"/>
      <c r="J40" s="9"/>
      <c r="K40" s="9"/>
      <c r="L40" s="9"/>
      <c r="M40" s="9"/>
      <c r="N40" s="20" t="str">
        <f t="shared" si="1"/>
        <v/>
      </c>
      <c r="O40" s="9"/>
    </row>
    <row r="41" ht="15.75" customHeight="1">
      <c r="A41" s="9"/>
      <c r="B41" s="9"/>
      <c r="C41" s="9"/>
      <c r="D41" s="20" t="str">
        <f t="array" ref="D41">IFERROR(INDEX('Регистър на риска'!$I:$I,MATCH(A41,'Регистър на риска'!$A:$A,0)),"")</f>
        <v/>
      </c>
      <c r="E41" s="9"/>
      <c r="F41" s="9"/>
      <c r="G41" s="9"/>
      <c r="H41" s="9"/>
      <c r="I41" s="9"/>
      <c r="J41" s="9"/>
      <c r="K41" s="9"/>
      <c r="L41" s="9"/>
      <c r="M41" s="9"/>
      <c r="N41" s="20" t="str">
        <f t="shared" si="1"/>
        <v/>
      </c>
      <c r="O41" s="9"/>
    </row>
    <row r="42" ht="15.75" customHeight="1">
      <c r="A42" s="9"/>
      <c r="B42" s="9"/>
      <c r="C42" s="9"/>
      <c r="D42" s="20" t="str">
        <f t="array" ref="D42">IFERROR(INDEX('Регистър на риска'!$I:$I,MATCH(A42,'Регистър на риска'!$A:$A,0)),"")</f>
        <v/>
      </c>
      <c r="E42" s="9"/>
      <c r="F42" s="9"/>
      <c r="G42" s="9"/>
      <c r="H42" s="9"/>
      <c r="I42" s="9"/>
      <c r="J42" s="9"/>
      <c r="K42" s="9"/>
      <c r="L42" s="9"/>
      <c r="M42" s="9"/>
      <c r="N42" s="20" t="str">
        <f t="shared" si="1"/>
        <v/>
      </c>
      <c r="O42" s="9"/>
    </row>
    <row r="43" ht="15.75" customHeight="1">
      <c r="A43" s="9"/>
      <c r="B43" s="9"/>
      <c r="C43" s="9"/>
      <c r="D43" s="20" t="str">
        <f t="array" ref="D43">IFERROR(INDEX('Регистър на риска'!$I:$I,MATCH(A43,'Регистър на риска'!$A:$A,0)),"")</f>
        <v/>
      </c>
      <c r="E43" s="9"/>
      <c r="F43" s="9"/>
      <c r="G43" s="9"/>
      <c r="H43" s="9"/>
      <c r="I43" s="9"/>
      <c r="J43" s="9"/>
      <c r="K43" s="9"/>
      <c r="L43" s="9"/>
      <c r="M43" s="9"/>
      <c r="N43" s="20" t="str">
        <f t="shared" si="1"/>
        <v/>
      </c>
      <c r="O43" s="9"/>
    </row>
    <row r="44" ht="15.75" customHeight="1">
      <c r="A44" s="9"/>
      <c r="B44" s="9"/>
      <c r="C44" s="9"/>
      <c r="D44" s="20" t="str">
        <f t="array" ref="D44">IFERROR(INDEX('Регистър на риска'!$I:$I,MATCH(A44,'Регистър на риска'!$A:$A,0)),"")</f>
        <v/>
      </c>
      <c r="E44" s="9"/>
      <c r="F44" s="9"/>
      <c r="G44" s="9"/>
      <c r="H44" s="9"/>
      <c r="I44" s="9"/>
      <c r="J44" s="9"/>
      <c r="K44" s="9"/>
      <c r="L44" s="9"/>
      <c r="M44" s="9"/>
      <c r="N44" s="20" t="str">
        <f t="shared" si="1"/>
        <v/>
      </c>
      <c r="O44" s="9"/>
    </row>
    <row r="45" ht="15.75" customHeight="1">
      <c r="A45" s="9"/>
      <c r="B45" s="9"/>
      <c r="C45" s="9"/>
      <c r="D45" s="20" t="str">
        <f t="array" ref="D45">IFERROR(INDEX('Регистър на риска'!$I:$I,MATCH(A45,'Регистър на риска'!$A:$A,0)),"")</f>
        <v/>
      </c>
      <c r="E45" s="9"/>
      <c r="F45" s="9"/>
      <c r="G45" s="9"/>
      <c r="H45" s="9"/>
      <c r="I45" s="9"/>
      <c r="J45" s="9"/>
      <c r="K45" s="9"/>
      <c r="L45" s="9"/>
      <c r="M45" s="9"/>
      <c r="N45" s="20" t="str">
        <f t="shared" si="1"/>
        <v/>
      </c>
      <c r="O45" s="9"/>
    </row>
    <row r="46" ht="15.75" customHeight="1">
      <c r="A46" s="9"/>
      <c r="B46" s="9"/>
      <c r="C46" s="9"/>
      <c r="D46" s="20" t="str">
        <f t="array" ref="D46">IFERROR(INDEX('Регистър на риска'!$I:$I,MATCH(A46,'Регистър на риска'!$A:$A,0)),"")</f>
        <v/>
      </c>
      <c r="E46" s="9"/>
      <c r="F46" s="9"/>
      <c r="G46" s="9"/>
      <c r="H46" s="9"/>
      <c r="I46" s="9"/>
      <c r="J46" s="9"/>
      <c r="K46" s="9"/>
      <c r="L46" s="9"/>
      <c r="M46" s="9"/>
      <c r="N46" s="20" t="str">
        <f t="shared" si="1"/>
        <v/>
      </c>
      <c r="O46" s="9"/>
    </row>
    <row r="47" ht="15.75" customHeight="1">
      <c r="A47" s="9"/>
      <c r="B47" s="9"/>
      <c r="C47" s="9"/>
      <c r="D47" s="20" t="str">
        <f t="array" ref="D47">IFERROR(INDEX('Регистър на риска'!$I:$I,MATCH(A47,'Регистър на риска'!$A:$A,0)),"")</f>
        <v/>
      </c>
      <c r="E47" s="9"/>
      <c r="F47" s="9"/>
      <c r="G47" s="9"/>
      <c r="H47" s="9"/>
      <c r="I47" s="9"/>
      <c r="J47" s="9"/>
      <c r="K47" s="9"/>
      <c r="L47" s="9"/>
      <c r="M47" s="9"/>
      <c r="N47" s="20" t="str">
        <f t="shared" si="1"/>
        <v/>
      </c>
      <c r="O47" s="9"/>
    </row>
    <row r="48" ht="15.75" customHeight="1">
      <c r="A48" s="9"/>
      <c r="B48" s="9"/>
      <c r="C48" s="9"/>
      <c r="D48" s="20" t="str">
        <f t="array" ref="D48">IFERROR(INDEX('Регистър на риска'!$I:$I,MATCH(A48,'Регистър на риска'!$A:$A,0)),"")</f>
        <v/>
      </c>
      <c r="E48" s="9"/>
      <c r="F48" s="9"/>
      <c r="G48" s="9"/>
      <c r="H48" s="9"/>
      <c r="I48" s="9"/>
      <c r="J48" s="9"/>
      <c r="K48" s="9"/>
      <c r="L48" s="9"/>
      <c r="M48" s="9"/>
      <c r="N48" s="20" t="str">
        <f t="shared" si="1"/>
        <v/>
      </c>
      <c r="O48" s="9"/>
    </row>
    <row r="49" ht="15.75" customHeight="1">
      <c r="A49" s="9"/>
      <c r="B49" s="9"/>
      <c r="C49" s="9"/>
      <c r="D49" s="20" t="str">
        <f t="array" ref="D49">IFERROR(INDEX('Регистър на риска'!$I:$I,MATCH(A49,'Регистър на риска'!$A:$A,0)),"")</f>
        <v/>
      </c>
      <c r="E49" s="9"/>
      <c r="F49" s="9"/>
      <c r="G49" s="9"/>
      <c r="H49" s="9"/>
      <c r="I49" s="9"/>
      <c r="J49" s="9"/>
      <c r="K49" s="9"/>
      <c r="L49" s="9"/>
      <c r="M49" s="9"/>
      <c r="N49" s="20" t="str">
        <f t="shared" si="1"/>
        <v/>
      </c>
      <c r="O49" s="9"/>
    </row>
    <row r="50" ht="15.75" customHeight="1">
      <c r="A50" s="9"/>
      <c r="B50" s="9"/>
      <c r="C50" s="9"/>
      <c r="D50" s="20" t="str">
        <f t="array" ref="D50">IFERROR(INDEX('Регистър на риска'!$I:$I,MATCH(A50,'Регистър на риска'!$A:$A,0)),"")</f>
        <v/>
      </c>
      <c r="E50" s="9"/>
      <c r="F50" s="9"/>
      <c r="G50" s="9"/>
      <c r="H50" s="9"/>
      <c r="I50" s="9"/>
      <c r="J50" s="9"/>
      <c r="K50" s="9"/>
      <c r="L50" s="9"/>
      <c r="M50" s="9"/>
      <c r="N50" s="20" t="str">
        <f t="shared" si="1"/>
        <v/>
      </c>
      <c r="O50" s="9"/>
    </row>
    <row r="51" ht="15.75" customHeight="1">
      <c r="A51" s="9"/>
      <c r="B51" s="9"/>
      <c r="C51" s="9"/>
      <c r="D51" s="20" t="str">
        <f t="array" ref="D51">IFERROR(INDEX('Регистър на риска'!$I:$I,MATCH(A51,'Регистър на риска'!$A:$A,0)),"")</f>
        <v/>
      </c>
      <c r="E51" s="9"/>
      <c r="F51" s="9"/>
      <c r="G51" s="9"/>
      <c r="H51" s="9"/>
      <c r="I51" s="9"/>
      <c r="J51" s="9"/>
      <c r="K51" s="9"/>
      <c r="L51" s="9"/>
      <c r="M51" s="9"/>
      <c r="N51" s="20" t="str">
        <f t="shared" si="1"/>
        <v/>
      </c>
      <c r="O51" s="9"/>
    </row>
    <row r="52" ht="15.75" customHeight="1">
      <c r="A52" s="9"/>
      <c r="B52" s="9"/>
      <c r="C52" s="9"/>
      <c r="D52" s="20" t="str">
        <f t="array" ref="D52">IFERROR(INDEX('Регистър на риска'!$I:$I,MATCH(A52,'Регистър на риска'!$A:$A,0)),"")</f>
        <v/>
      </c>
      <c r="E52" s="9"/>
      <c r="F52" s="9"/>
      <c r="G52" s="9"/>
      <c r="H52" s="9"/>
      <c r="I52" s="9"/>
      <c r="J52" s="9"/>
      <c r="K52" s="9"/>
      <c r="L52" s="9"/>
      <c r="M52" s="9"/>
      <c r="N52" s="20" t="str">
        <f t="shared" si="1"/>
        <v/>
      </c>
      <c r="O52" s="9"/>
    </row>
    <row r="53" ht="15.75" customHeight="1">
      <c r="A53" s="9"/>
      <c r="B53" s="9"/>
      <c r="C53" s="9"/>
      <c r="D53" s="20" t="str">
        <f t="array" ref="D53">IFERROR(INDEX('Регистър на риска'!$I:$I,MATCH(A53,'Регистър на риска'!$A:$A,0)),"")</f>
        <v/>
      </c>
      <c r="E53" s="9"/>
      <c r="F53" s="9"/>
      <c r="G53" s="9"/>
      <c r="H53" s="9"/>
      <c r="I53" s="9"/>
      <c r="J53" s="9"/>
      <c r="K53" s="9"/>
      <c r="L53" s="9"/>
      <c r="M53" s="9"/>
      <c r="N53" s="20" t="str">
        <f t="shared" si="1"/>
        <v/>
      </c>
      <c r="O53" s="9"/>
    </row>
    <row r="54" ht="15.75" customHeight="1">
      <c r="A54" s="9"/>
      <c r="B54" s="9"/>
      <c r="C54" s="9"/>
      <c r="D54" s="20" t="str">
        <f t="array" ref="D54">IFERROR(INDEX('Регистър на риска'!$I:$I,MATCH(A54,'Регистър на риска'!$A:$A,0)),"")</f>
        <v/>
      </c>
      <c r="E54" s="9"/>
      <c r="F54" s="9"/>
      <c r="G54" s="9"/>
      <c r="H54" s="9"/>
      <c r="I54" s="9"/>
      <c r="J54" s="9"/>
      <c r="K54" s="9"/>
      <c r="L54" s="9"/>
      <c r="M54" s="9"/>
      <c r="N54" s="20" t="str">
        <f t="shared" si="1"/>
        <v/>
      </c>
      <c r="O54" s="9"/>
    </row>
    <row r="55" ht="15.75" customHeight="1">
      <c r="A55" s="9"/>
      <c r="B55" s="9"/>
      <c r="C55" s="9"/>
      <c r="D55" s="20" t="str">
        <f t="array" ref="D55">IFERROR(INDEX('Регистър на риска'!$I:$I,MATCH(A55,'Регистър на риска'!$A:$A,0)),"")</f>
        <v/>
      </c>
      <c r="E55" s="9"/>
      <c r="F55" s="9"/>
      <c r="G55" s="9"/>
      <c r="H55" s="9"/>
      <c r="I55" s="9"/>
      <c r="J55" s="9"/>
      <c r="K55" s="9"/>
      <c r="L55" s="9"/>
      <c r="M55" s="9"/>
      <c r="N55" s="20" t="str">
        <f t="shared" si="1"/>
        <v/>
      </c>
      <c r="O55" s="9"/>
    </row>
    <row r="56" ht="15.75" customHeight="1">
      <c r="A56" s="9"/>
      <c r="B56" s="9"/>
      <c r="C56" s="9"/>
      <c r="D56" s="20" t="str">
        <f t="array" ref="D56">IFERROR(INDEX('Регистър на риска'!$I:$I,MATCH(A56,'Регистър на риска'!$A:$A,0)),"")</f>
        <v/>
      </c>
      <c r="E56" s="9"/>
      <c r="F56" s="9"/>
      <c r="G56" s="9"/>
      <c r="H56" s="9"/>
      <c r="I56" s="9"/>
      <c r="J56" s="9"/>
      <c r="K56" s="9"/>
      <c r="L56" s="9"/>
      <c r="M56" s="9"/>
      <c r="N56" s="20" t="str">
        <f t="shared" si="1"/>
        <v/>
      </c>
      <c r="O56" s="9"/>
    </row>
    <row r="57" ht="15.75" customHeight="1">
      <c r="A57" s="9"/>
      <c r="B57" s="9"/>
      <c r="C57" s="9"/>
      <c r="D57" s="20" t="str">
        <f t="array" ref="D57">IFERROR(INDEX('Регистър на риска'!$I:$I,MATCH(A57,'Регистър на риска'!$A:$A,0)),"")</f>
        <v/>
      </c>
      <c r="E57" s="9"/>
      <c r="F57" s="9"/>
      <c r="G57" s="9"/>
      <c r="H57" s="9"/>
      <c r="I57" s="9"/>
      <c r="J57" s="9"/>
      <c r="K57" s="9"/>
      <c r="L57" s="9"/>
      <c r="M57" s="9"/>
      <c r="N57" s="20" t="str">
        <f t="shared" si="1"/>
        <v/>
      </c>
      <c r="O57" s="9"/>
    </row>
    <row r="58" ht="15.75" customHeight="1">
      <c r="A58" s="9"/>
      <c r="B58" s="9"/>
      <c r="C58" s="9"/>
      <c r="D58" s="20" t="str">
        <f t="array" ref="D58">IFERROR(INDEX('Регистър на риска'!$I:$I,MATCH(A58,'Регистър на риска'!$A:$A,0)),"")</f>
        <v/>
      </c>
      <c r="E58" s="9"/>
      <c r="F58" s="9"/>
      <c r="G58" s="9"/>
      <c r="H58" s="9"/>
      <c r="I58" s="9"/>
      <c r="J58" s="9"/>
      <c r="K58" s="9"/>
      <c r="L58" s="9"/>
      <c r="M58" s="9"/>
      <c r="N58" s="20" t="str">
        <f t="shared" si="1"/>
        <v/>
      </c>
      <c r="O58" s="9"/>
    </row>
    <row r="59" ht="15.75" customHeight="1">
      <c r="A59" s="9"/>
      <c r="B59" s="9"/>
      <c r="C59" s="9"/>
      <c r="D59" s="20" t="str">
        <f t="array" ref="D59">IFERROR(INDEX('Регистър на риска'!$I:$I,MATCH(A59,'Регистър на риска'!$A:$A,0)),"")</f>
        <v/>
      </c>
      <c r="E59" s="9"/>
      <c r="F59" s="9"/>
      <c r="G59" s="9"/>
      <c r="H59" s="9"/>
      <c r="I59" s="9"/>
      <c r="J59" s="9"/>
      <c r="K59" s="9"/>
      <c r="L59" s="9"/>
      <c r="M59" s="9"/>
      <c r="N59" s="20" t="str">
        <f t="shared" si="1"/>
        <v/>
      </c>
      <c r="O59" s="9"/>
    </row>
    <row r="60" ht="15.75" customHeight="1">
      <c r="A60" s="9"/>
      <c r="B60" s="9"/>
      <c r="C60" s="9"/>
      <c r="D60" s="20" t="str">
        <f t="array" ref="D60">IFERROR(INDEX('Регистър на риска'!$I:$I,MATCH(A60,'Регистър на риска'!$A:$A,0)),"")</f>
        <v/>
      </c>
      <c r="E60" s="9"/>
      <c r="F60" s="9"/>
      <c r="G60" s="9"/>
      <c r="H60" s="9"/>
      <c r="I60" s="9"/>
      <c r="J60" s="9"/>
      <c r="K60" s="9"/>
      <c r="L60" s="9"/>
      <c r="M60" s="9"/>
      <c r="N60" s="20" t="str">
        <f t="shared" si="1"/>
        <v/>
      </c>
      <c r="O60" s="9"/>
    </row>
    <row r="61" ht="15.75" customHeight="1">
      <c r="A61" s="9"/>
      <c r="B61" s="9"/>
      <c r="C61" s="9"/>
      <c r="D61" s="20" t="str">
        <f t="array" ref="D61">IFERROR(INDEX('Регистър на риска'!$I:$I,MATCH(A61,'Регистър на риска'!$A:$A,0)),"")</f>
        <v/>
      </c>
      <c r="E61" s="9"/>
      <c r="F61" s="9"/>
      <c r="G61" s="9"/>
      <c r="H61" s="9"/>
      <c r="I61" s="9"/>
      <c r="J61" s="9"/>
      <c r="K61" s="9"/>
      <c r="L61" s="9"/>
      <c r="M61" s="9"/>
      <c r="N61" s="20" t="str">
        <f t="shared" si="1"/>
        <v/>
      </c>
      <c r="O61" s="9"/>
    </row>
    <row r="62" ht="15.75" customHeight="1">
      <c r="A62" s="9"/>
      <c r="B62" s="9"/>
      <c r="C62" s="9"/>
      <c r="D62" s="20" t="str">
        <f t="array" ref="D62">IFERROR(INDEX('Регистър на риска'!$I:$I,MATCH(A62,'Регистър на риска'!$A:$A,0)),"")</f>
        <v/>
      </c>
      <c r="E62" s="9"/>
      <c r="F62" s="9"/>
      <c r="G62" s="9"/>
      <c r="H62" s="9"/>
      <c r="I62" s="9"/>
      <c r="J62" s="9"/>
      <c r="K62" s="9"/>
      <c r="L62" s="9"/>
      <c r="M62" s="9"/>
      <c r="N62" s="20" t="str">
        <f t="shared" si="1"/>
        <v/>
      </c>
      <c r="O62" s="9"/>
    </row>
    <row r="63" ht="15.75" customHeight="1">
      <c r="A63" s="9"/>
      <c r="B63" s="9"/>
      <c r="C63" s="9"/>
      <c r="D63" s="20" t="str">
        <f t="array" ref="D63">IFERROR(INDEX('Регистър на риска'!$I:$I,MATCH(A63,'Регистър на риска'!$A:$A,0)),"")</f>
        <v/>
      </c>
      <c r="E63" s="9"/>
      <c r="F63" s="9"/>
      <c r="G63" s="9"/>
      <c r="H63" s="9"/>
      <c r="I63" s="9"/>
      <c r="J63" s="9"/>
      <c r="K63" s="9"/>
      <c r="L63" s="9"/>
      <c r="M63" s="9"/>
      <c r="N63" s="20" t="str">
        <f t="shared" si="1"/>
        <v/>
      </c>
      <c r="O63" s="9"/>
    </row>
    <row r="64" ht="15.75" customHeight="1">
      <c r="A64" s="9"/>
      <c r="B64" s="9"/>
      <c r="C64" s="9"/>
      <c r="D64" s="20" t="str">
        <f t="array" ref="D64">IFERROR(INDEX('Регистър на риска'!$I:$I,MATCH(A64,'Регистър на риска'!$A:$A,0)),"")</f>
        <v/>
      </c>
      <c r="E64" s="9"/>
      <c r="F64" s="9"/>
      <c r="G64" s="9"/>
      <c r="H64" s="9"/>
      <c r="I64" s="9"/>
      <c r="J64" s="9"/>
      <c r="K64" s="9"/>
      <c r="L64" s="9"/>
      <c r="M64" s="9"/>
      <c r="N64" s="20" t="str">
        <f t="shared" si="1"/>
        <v/>
      </c>
      <c r="O64" s="9"/>
    </row>
    <row r="65" ht="15.75" customHeight="1">
      <c r="A65" s="9"/>
      <c r="B65" s="9"/>
      <c r="C65" s="9"/>
      <c r="D65" s="20" t="str">
        <f t="array" ref="D65">IFERROR(INDEX('Регистър на риска'!$I:$I,MATCH(A65,'Регистър на риска'!$A:$A,0)),"")</f>
        <v/>
      </c>
      <c r="E65" s="9"/>
      <c r="F65" s="9"/>
      <c r="G65" s="9"/>
      <c r="H65" s="9"/>
      <c r="I65" s="9"/>
      <c r="J65" s="9"/>
      <c r="K65" s="9"/>
      <c r="L65" s="9"/>
      <c r="M65" s="9"/>
      <c r="N65" s="20" t="str">
        <f t="shared" si="1"/>
        <v/>
      </c>
      <c r="O65" s="9"/>
    </row>
    <row r="66" ht="15.75" customHeight="1">
      <c r="A66" s="9"/>
      <c r="B66" s="9"/>
      <c r="C66" s="9"/>
      <c r="D66" s="20" t="str">
        <f t="array" ref="D66">IFERROR(INDEX('Регистър на риска'!$I:$I,MATCH(A66,'Регистър на риска'!$A:$A,0)),"")</f>
        <v/>
      </c>
      <c r="E66" s="9"/>
      <c r="F66" s="9"/>
      <c r="G66" s="9"/>
      <c r="H66" s="9"/>
      <c r="I66" s="9"/>
      <c r="J66" s="9"/>
      <c r="K66" s="9"/>
      <c r="L66" s="9"/>
      <c r="M66" s="9"/>
      <c r="N66" s="20" t="str">
        <f t="shared" si="1"/>
        <v/>
      </c>
      <c r="O66" s="9"/>
    </row>
    <row r="67" ht="15.75" customHeight="1">
      <c r="A67" s="9"/>
      <c r="B67" s="9"/>
      <c r="C67" s="9"/>
      <c r="D67" s="20" t="str">
        <f t="array" ref="D67">IFERROR(INDEX('Регистър на риска'!$I:$I,MATCH(A67,'Регистър на риска'!$A:$A,0)),"")</f>
        <v/>
      </c>
      <c r="E67" s="9"/>
      <c r="F67" s="9"/>
      <c r="G67" s="9"/>
      <c r="H67" s="9"/>
      <c r="I67" s="9"/>
      <c r="J67" s="9"/>
      <c r="K67" s="9"/>
      <c r="L67" s="9"/>
      <c r="M67" s="9"/>
      <c r="N67" s="20" t="str">
        <f t="shared" si="1"/>
        <v/>
      </c>
      <c r="O67" s="9"/>
    </row>
    <row r="68" ht="15.75" customHeight="1">
      <c r="A68" s="9"/>
      <c r="B68" s="9"/>
      <c r="C68" s="9"/>
      <c r="D68" s="20" t="str">
        <f t="array" ref="D68">IFERROR(INDEX('Регистър на риска'!$I:$I,MATCH(A68,'Регистър на риска'!$A:$A,0)),"")</f>
        <v/>
      </c>
      <c r="E68" s="9"/>
      <c r="F68" s="9"/>
      <c r="G68" s="9"/>
      <c r="H68" s="9"/>
      <c r="I68" s="9"/>
      <c r="J68" s="9"/>
      <c r="K68" s="9"/>
      <c r="L68" s="9"/>
      <c r="M68" s="9"/>
      <c r="N68" s="20" t="str">
        <f t="shared" si="1"/>
        <v/>
      </c>
      <c r="O68" s="9"/>
    </row>
    <row r="69" ht="15.75" customHeight="1">
      <c r="A69" s="9"/>
      <c r="B69" s="9"/>
      <c r="C69" s="9"/>
      <c r="D69" s="20" t="str">
        <f t="array" ref="D69">IFERROR(INDEX('Регистър на риска'!$I:$I,MATCH(A69,'Регистър на риска'!$A:$A,0)),"")</f>
        <v/>
      </c>
      <c r="E69" s="9"/>
      <c r="F69" s="9"/>
      <c r="G69" s="9"/>
      <c r="H69" s="9"/>
      <c r="I69" s="9"/>
      <c r="J69" s="9"/>
      <c r="K69" s="9"/>
      <c r="L69" s="9"/>
      <c r="M69" s="9"/>
      <c r="N69" s="20" t="str">
        <f t="shared" si="1"/>
        <v/>
      </c>
      <c r="O69" s="9"/>
    </row>
    <row r="70" ht="15.75" customHeight="1">
      <c r="A70" s="9"/>
      <c r="B70" s="9"/>
      <c r="C70" s="9"/>
      <c r="D70" s="20" t="str">
        <f t="array" ref="D70">IFERROR(INDEX('Регистър на риска'!$I:$I,MATCH(A70,'Регистър на риска'!$A:$A,0)),"")</f>
        <v/>
      </c>
      <c r="E70" s="9"/>
      <c r="F70" s="9"/>
      <c r="G70" s="9"/>
      <c r="H70" s="9"/>
      <c r="I70" s="9"/>
      <c r="J70" s="9"/>
      <c r="K70" s="9"/>
      <c r="L70" s="9"/>
      <c r="M70" s="9"/>
      <c r="N70" s="20" t="str">
        <f t="shared" si="1"/>
        <v/>
      </c>
      <c r="O70" s="9"/>
    </row>
    <row r="71" ht="15.75" customHeight="1">
      <c r="A71" s="9"/>
      <c r="B71" s="9"/>
      <c r="C71" s="9"/>
      <c r="D71" s="20" t="str">
        <f t="array" ref="D71">IFERROR(INDEX('Регистър на риска'!$I:$I,MATCH(A71,'Регистър на риска'!$A:$A,0)),"")</f>
        <v/>
      </c>
      <c r="E71" s="9"/>
      <c r="F71" s="9"/>
      <c r="G71" s="9"/>
      <c r="H71" s="9"/>
      <c r="I71" s="9"/>
      <c r="J71" s="9"/>
      <c r="K71" s="9"/>
      <c r="L71" s="9"/>
      <c r="M71" s="9"/>
      <c r="N71" s="20" t="str">
        <f t="shared" si="1"/>
        <v/>
      </c>
      <c r="O71" s="9"/>
    </row>
    <row r="72" ht="15.75" customHeight="1">
      <c r="A72" s="9"/>
      <c r="B72" s="9"/>
      <c r="C72" s="9"/>
      <c r="D72" s="20" t="str">
        <f t="array" ref="D72">IFERROR(INDEX('Регистър на риска'!$I:$I,MATCH(A72,'Регистър на риска'!$A:$A,0)),"")</f>
        <v/>
      </c>
      <c r="E72" s="9"/>
      <c r="F72" s="9"/>
      <c r="G72" s="9"/>
      <c r="H72" s="9"/>
      <c r="I72" s="9"/>
      <c r="J72" s="9"/>
      <c r="K72" s="9"/>
      <c r="L72" s="9"/>
      <c r="M72" s="9"/>
      <c r="N72" s="20" t="str">
        <f t="shared" si="1"/>
        <v/>
      </c>
      <c r="O72" s="9"/>
    </row>
    <row r="73" ht="15.75" customHeight="1">
      <c r="A73" s="9"/>
      <c r="B73" s="9"/>
      <c r="C73" s="9"/>
      <c r="D73" s="20" t="str">
        <f t="array" ref="D73">IFERROR(INDEX('Регистър на риска'!$I:$I,MATCH(A73,'Регистър на риска'!$A:$A,0)),"")</f>
        <v/>
      </c>
      <c r="E73" s="9"/>
      <c r="F73" s="9"/>
      <c r="G73" s="9"/>
      <c r="H73" s="9"/>
      <c r="I73" s="9"/>
      <c r="J73" s="9"/>
      <c r="K73" s="9"/>
      <c r="L73" s="9"/>
      <c r="M73" s="9"/>
      <c r="N73" s="20" t="str">
        <f t="shared" si="1"/>
        <v/>
      </c>
      <c r="O73" s="9"/>
    </row>
    <row r="74" ht="15.75" customHeight="1">
      <c r="A74" s="9"/>
      <c r="B74" s="9"/>
      <c r="C74" s="9"/>
      <c r="D74" s="20" t="str">
        <f t="array" ref="D74">IFERROR(INDEX('Регистър на риска'!$I:$I,MATCH(A74,'Регистър на риска'!$A:$A,0)),"")</f>
        <v/>
      </c>
      <c r="E74" s="9"/>
      <c r="F74" s="9"/>
      <c r="G74" s="9"/>
      <c r="H74" s="9"/>
      <c r="I74" s="9"/>
      <c r="J74" s="9"/>
      <c r="K74" s="9"/>
      <c r="L74" s="9"/>
      <c r="M74" s="9"/>
      <c r="N74" s="20" t="str">
        <f t="shared" si="1"/>
        <v/>
      </c>
      <c r="O74" s="9"/>
    </row>
    <row r="75" ht="15.75" customHeight="1">
      <c r="A75" s="9"/>
      <c r="B75" s="9"/>
      <c r="C75" s="9"/>
      <c r="D75" s="20" t="str">
        <f t="array" ref="D75">IFERROR(INDEX('Регистър на риска'!$I:$I,MATCH(A75,'Регистър на риска'!$A:$A,0)),"")</f>
        <v/>
      </c>
      <c r="E75" s="9"/>
      <c r="F75" s="9"/>
      <c r="G75" s="9"/>
      <c r="H75" s="9"/>
      <c r="I75" s="9"/>
      <c r="J75" s="9"/>
      <c r="K75" s="9"/>
      <c r="L75" s="9"/>
      <c r="M75" s="9"/>
      <c r="N75" s="20" t="str">
        <f t="shared" si="1"/>
        <v/>
      </c>
      <c r="O75" s="9"/>
    </row>
    <row r="76" ht="15.75" customHeight="1">
      <c r="A76" s="9"/>
      <c r="B76" s="9"/>
      <c r="C76" s="9"/>
      <c r="D76" s="20" t="str">
        <f t="array" ref="D76">IFERROR(INDEX('Регистър на риска'!$I:$I,MATCH(A76,'Регистър на риска'!$A:$A,0)),"")</f>
        <v/>
      </c>
      <c r="E76" s="9"/>
      <c r="F76" s="9"/>
      <c r="G76" s="9"/>
      <c r="H76" s="9"/>
      <c r="I76" s="9"/>
      <c r="J76" s="9"/>
      <c r="K76" s="9"/>
      <c r="L76" s="9"/>
      <c r="M76" s="9"/>
      <c r="N76" s="20" t="str">
        <f t="shared" si="1"/>
        <v/>
      </c>
      <c r="O76" s="9"/>
    </row>
    <row r="77" ht="15.75" customHeight="1">
      <c r="A77" s="9"/>
      <c r="B77" s="9"/>
      <c r="C77" s="9"/>
      <c r="D77" s="20" t="str">
        <f t="array" ref="D77">IFERROR(INDEX('Регистър на риска'!$I:$I,MATCH(A77,'Регистър на риска'!$A:$A,0)),"")</f>
        <v/>
      </c>
      <c r="E77" s="9"/>
      <c r="F77" s="9"/>
      <c r="G77" s="9"/>
      <c r="H77" s="9"/>
      <c r="I77" s="9"/>
      <c r="J77" s="9"/>
      <c r="K77" s="9"/>
      <c r="L77" s="9"/>
      <c r="M77" s="9"/>
      <c r="N77" s="20" t="str">
        <f t="shared" si="1"/>
        <v/>
      </c>
      <c r="O77" s="9"/>
    </row>
    <row r="78" ht="15.75" customHeight="1">
      <c r="A78" s="9"/>
      <c r="B78" s="9"/>
      <c r="C78" s="9"/>
      <c r="D78" s="20" t="str">
        <f t="array" ref="D78">IFERROR(INDEX('Регистър на риска'!$I:$I,MATCH(A78,'Регистър на риска'!$A:$A,0)),"")</f>
        <v/>
      </c>
      <c r="E78" s="9"/>
      <c r="F78" s="9"/>
      <c r="G78" s="9"/>
      <c r="H78" s="9"/>
      <c r="I78" s="9"/>
      <c r="J78" s="9"/>
      <c r="K78" s="9"/>
      <c r="L78" s="9"/>
      <c r="M78" s="9"/>
      <c r="N78" s="20" t="str">
        <f t="shared" si="1"/>
        <v/>
      </c>
      <c r="O78" s="9"/>
    </row>
    <row r="79" ht="15.75" customHeight="1">
      <c r="A79" s="9"/>
      <c r="B79" s="9"/>
      <c r="C79" s="9"/>
      <c r="D79" s="20" t="str">
        <f t="array" ref="D79">IFERROR(INDEX('Регистър на риска'!$I:$I,MATCH(A79,'Регистър на риска'!$A:$A,0)),"")</f>
        <v/>
      </c>
      <c r="E79" s="9"/>
      <c r="F79" s="9"/>
      <c r="G79" s="9"/>
      <c r="H79" s="9"/>
      <c r="I79" s="9"/>
      <c r="J79" s="9"/>
      <c r="K79" s="9"/>
      <c r="L79" s="9"/>
      <c r="M79" s="9"/>
      <c r="N79" s="20" t="str">
        <f t="shared" si="1"/>
        <v/>
      </c>
      <c r="O79" s="9"/>
    </row>
    <row r="80" ht="15.75" customHeight="1">
      <c r="A80" s="9"/>
      <c r="B80" s="9"/>
      <c r="C80" s="9"/>
      <c r="D80" s="20" t="str">
        <f t="array" ref="D80">IFERROR(INDEX('Регистър на риска'!$I:$I,MATCH(A80,'Регистър на риска'!$A:$A,0)),"")</f>
        <v/>
      </c>
      <c r="E80" s="9"/>
      <c r="F80" s="9"/>
      <c r="G80" s="9"/>
      <c r="H80" s="9"/>
      <c r="I80" s="9"/>
      <c r="J80" s="9"/>
      <c r="K80" s="9"/>
      <c r="L80" s="9"/>
      <c r="M80" s="9"/>
      <c r="N80" s="20" t="str">
        <f t="shared" si="1"/>
        <v/>
      </c>
      <c r="O80" s="9"/>
    </row>
    <row r="81" ht="15.75" customHeight="1">
      <c r="A81" s="9"/>
      <c r="B81" s="9"/>
      <c r="C81" s="9"/>
      <c r="D81" s="20" t="str">
        <f t="array" ref="D81">IFERROR(INDEX('Регистър на риска'!$I:$I,MATCH(A81,'Регистър на риска'!$A:$A,0)),"")</f>
        <v/>
      </c>
      <c r="E81" s="9"/>
      <c r="F81" s="9"/>
      <c r="G81" s="9"/>
      <c r="H81" s="9"/>
      <c r="I81" s="9"/>
      <c r="J81" s="9"/>
      <c r="K81" s="9"/>
      <c r="L81" s="9"/>
      <c r="M81" s="9"/>
      <c r="N81" s="20" t="str">
        <f t="shared" si="1"/>
        <v/>
      </c>
      <c r="O81" s="9"/>
    </row>
    <row r="82" ht="15.75" customHeight="1">
      <c r="A82" s="9"/>
      <c r="B82" s="9"/>
      <c r="C82" s="9"/>
      <c r="D82" s="20" t="str">
        <f t="array" ref="D82">IFERROR(INDEX('Регистър на риска'!$I:$I,MATCH(A82,'Регистър на риска'!$A:$A,0)),"")</f>
        <v/>
      </c>
      <c r="E82" s="9"/>
      <c r="F82" s="9"/>
      <c r="G82" s="9"/>
      <c r="H82" s="9"/>
      <c r="I82" s="9"/>
      <c r="J82" s="9"/>
      <c r="K82" s="9"/>
      <c r="L82" s="9"/>
      <c r="M82" s="9"/>
      <c r="N82" s="20" t="str">
        <f t="shared" si="1"/>
        <v/>
      </c>
      <c r="O82" s="9"/>
    </row>
    <row r="83" ht="15.75" customHeight="1">
      <c r="A83" s="9"/>
      <c r="B83" s="9"/>
      <c r="C83" s="9"/>
      <c r="D83" s="20" t="str">
        <f t="array" ref="D83">IFERROR(INDEX('Регистър на риска'!$I:$I,MATCH(A83,'Регистър на риска'!$A:$A,0)),"")</f>
        <v/>
      </c>
      <c r="E83" s="9"/>
      <c r="F83" s="9"/>
      <c r="G83" s="9"/>
      <c r="H83" s="9"/>
      <c r="I83" s="9"/>
      <c r="J83" s="9"/>
      <c r="K83" s="9"/>
      <c r="L83" s="9"/>
      <c r="M83" s="9"/>
      <c r="N83" s="20" t="str">
        <f t="shared" si="1"/>
        <v/>
      </c>
      <c r="O83" s="9"/>
    </row>
    <row r="84" ht="15.75" customHeight="1">
      <c r="A84" s="9"/>
      <c r="B84" s="9"/>
      <c r="C84" s="9"/>
      <c r="D84" s="20" t="str">
        <f t="array" ref="D84">IFERROR(INDEX('Регистър на риска'!$I:$I,MATCH(A84,'Регистър на риска'!$A:$A,0)),"")</f>
        <v/>
      </c>
      <c r="E84" s="9"/>
      <c r="F84" s="9"/>
      <c r="G84" s="9"/>
      <c r="H84" s="9"/>
      <c r="I84" s="9"/>
      <c r="J84" s="9"/>
      <c r="K84" s="9"/>
      <c r="L84" s="9"/>
      <c r="M84" s="9"/>
      <c r="N84" s="20" t="str">
        <f t="shared" si="1"/>
        <v/>
      </c>
      <c r="O84" s="9"/>
    </row>
    <row r="85" ht="15.75" customHeight="1">
      <c r="A85" s="9"/>
      <c r="B85" s="9"/>
      <c r="C85" s="9"/>
      <c r="D85" s="20" t="str">
        <f t="array" ref="D85">IFERROR(INDEX('Регистър на риска'!$I:$I,MATCH(A85,'Регистър на риска'!$A:$A,0)),"")</f>
        <v/>
      </c>
      <c r="E85" s="9"/>
      <c r="F85" s="9"/>
      <c r="G85" s="9"/>
      <c r="H85" s="9"/>
      <c r="I85" s="9"/>
      <c r="J85" s="9"/>
      <c r="K85" s="9"/>
      <c r="L85" s="9"/>
      <c r="M85" s="9"/>
      <c r="N85" s="20" t="str">
        <f t="shared" si="1"/>
        <v/>
      </c>
      <c r="O85" s="9"/>
    </row>
    <row r="86" ht="15.75" customHeight="1">
      <c r="A86" s="9"/>
      <c r="B86" s="9"/>
      <c r="C86" s="9"/>
      <c r="D86" s="20" t="str">
        <f t="array" ref="D86">IFERROR(INDEX('Регистър на риска'!$I:$I,MATCH(A86,'Регистър на риска'!$A:$A,0)),"")</f>
        <v/>
      </c>
      <c r="E86" s="9"/>
      <c r="F86" s="9"/>
      <c r="G86" s="9"/>
      <c r="H86" s="9"/>
      <c r="I86" s="9"/>
      <c r="J86" s="9"/>
      <c r="K86" s="9"/>
      <c r="L86" s="9"/>
      <c r="M86" s="9"/>
      <c r="N86" s="20" t="str">
        <f t="shared" si="1"/>
        <v/>
      </c>
      <c r="O86" s="9"/>
    </row>
    <row r="87" ht="15.75" customHeight="1">
      <c r="A87" s="9"/>
      <c r="B87" s="9"/>
      <c r="C87" s="9"/>
      <c r="D87" s="20" t="str">
        <f t="array" ref="D87">IFERROR(INDEX('Регистър на риска'!$I:$I,MATCH(A87,'Регистър на риска'!$A:$A,0)),"")</f>
        <v/>
      </c>
      <c r="E87" s="9"/>
      <c r="F87" s="9"/>
      <c r="G87" s="9"/>
      <c r="H87" s="9"/>
      <c r="I87" s="9"/>
      <c r="J87" s="9"/>
      <c r="K87" s="9"/>
      <c r="L87" s="9"/>
      <c r="M87" s="9"/>
      <c r="N87" s="20" t="str">
        <f t="shared" si="1"/>
        <v/>
      </c>
      <c r="O87" s="9"/>
    </row>
    <row r="88" ht="15.75" customHeight="1">
      <c r="A88" s="9"/>
      <c r="B88" s="9"/>
      <c r="C88" s="9"/>
      <c r="D88" s="20" t="str">
        <f t="array" ref="D88">IFERROR(INDEX('Регистър на риска'!$I:$I,MATCH(A88,'Регистър на риска'!$A:$A,0)),"")</f>
        <v/>
      </c>
      <c r="E88" s="9"/>
      <c r="F88" s="9"/>
      <c r="G88" s="9"/>
      <c r="H88" s="9"/>
      <c r="I88" s="9"/>
      <c r="J88" s="9"/>
      <c r="K88" s="9"/>
      <c r="L88" s="9"/>
      <c r="M88" s="9"/>
      <c r="N88" s="20" t="str">
        <f t="shared" si="1"/>
        <v/>
      </c>
      <c r="O88" s="9"/>
    </row>
    <row r="89" ht="15.75" customHeight="1">
      <c r="A89" s="9"/>
      <c r="B89" s="9"/>
      <c r="C89" s="9"/>
      <c r="D89" s="20" t="str">
        <f t="array" ref="D89">IFERROR(INDEX('Регистър на риска'!$I:$I,MATCH(A89,'Регистър на риска'!$A:$A,0)),"")</f>
        <v/>
      </c>
      <c r="E89" s="9"/>
      <c r="F89" s="9"/>
      <c r="G89" s="9"/>
      <c r="H89" s="9"/>
      <c r="I89" s="9"/>
      <c r="J89" s="9"/>
      <c r="K89" s="9"/>
      <c r="L89" s="9"/>
      <c r="M89" s="9"/>
      <c r="N89" s="20" t="str">
        <f t="shared" si="1"/>
        <v/>
      </c>
      <c r="O89" s="9"/>
    </row>
    <row r="90" ht="15.75" customHeight="1">
      <c r="A90" s="9"/>
      <c r="B90" s="9"/>
      <c r="C90" s="9"/>
      <c r="D90" s="20" t="str">
        <f t="array" ref="D90">IFERROR(INDEX('Регистър на риска'!$I:$I,MATCH(A90,'Регистър на риска'!$A:$A,0)),"")</f>
        <v/>
      </c>
      <c r="E90" s="9"/>
      <c r="F90" s="9"/>
      <c r="G90" s="9"/>
      <c r="H90" s="9"/>
      <c r="I90" s="9"/>
      <c r="J90" s="9"/>
      <c r="K90" s="9"/>
      <c r="L90" s="9"/>
      <c r="M90" s="9"/>
      <c r="N90" s="20" t="str">
        <f t="shared" si="1"/>
        <v/>
      </c>
      <c r="O90" s="9"/>
    </row>
    <row r="91" ht="15.75" customHeight="1">
      <c r="A91" s="9"/>
      <c r="B91" s="9"/>
      <c r="C91" s="9"/>
      <c r="D91" s="20" t="str">
        <f t="array" ref="D91">IFERROR(INDEX('Регистър на риска'!$I:$I,MATCH(A91,'Регистър на риска'!$A:$A,0)),"")</f>
        <v/>
      </c>
      <c r="E91" s="9"/>
      <c r="F91" s="9"/>
      <c r="G91" s="9"/>
      <c r="H91" s="9"/>
      <c r="I91" s="9"/>
      <c r="J91" s="9"/>
      <c r="K91" s="9"/>
      <c r="L91" s="9"/>
      <c r="M91" s="9"/>
      <c r="N91" s="20" t="str">
        <f t="shared" si="1"/>
        <v/>
      </c>
      <c r="O91" s="9"/>
    </row>
    <row r="92" ht="15.75" customHeight="1">
      <c r="A92" s="9"/>
      <c r="B92" s="9"/>
      <c r="C92" s="9"/>
      <c r="D92" s="20" t="str">
        <f t="array" ref="D92">IFERROR(INDEX('Регистър на риска'!$I:$I,MATCH(A92,'Регистър на риска'!$A:$A,0)),"")</f>
        <v/>
      </c>
      <c r="E92" s="9"/>
      <c r="F92" s="9"/>
      <c r="G92" s="9"/>
      <c r="H92" s="9"/>
      <c r="I92" s="9"/>
      <c r="J92" s="9"/>
      <c r="K92" s="9"/>
      <c r="L92" s="9"/>
      <c r="M92" s="9"/>
      <c r="N92" s="20" t="str">
        <f t="shared" si="1"/>
        <v/>
      </c>
      <c r="O92" s="9"/>
    </row>
    <row r="93" ht="15.75" customHeight="1">
      <c r="A93" s="9"/>
      <c r="B93" s="9"/>
      <c r="C93" s="9"/>
      <c r="D93" s="20" t="str">
        <f t="array" ref="D93">IFERROR(INDEX('Регистър на риска'!$I:$I,MATCH(A93,'Регистър на риска'!$A:$A,0)),"")</f>
        <v/>
      </c>
      <c r="E93" s="9"/>
      <c r="F93" s="9"/>
      <c r="G93" s="9"/>
      <c r="H93" s="9"/>
      <c r="I93" s="9"/>
      <c r="J93" s="9"/>
      <c r="K93" s="9"/>
      <c r="L93" s="9"/>
      <c r="M93" s="9"/>
      <c r="N93" s="20" t="str">
        <f t="shared" si="1"/>
        <v/>
      </c>
      <c r="O93" s="9"/>
    </row>
    <row r="94" ht="15.75" customHeight="1">
      <c r="A94" s="9"/>
      <c r="B94" s="9"/>
      <c r="C94" s="9"/>
      <c r="D94" s="20" t="str">
        <f t="array" ref="D94">IFERROR(INDEX('Регистър на риска'!$I:$I,MATCH(A94,'Регистър на риска'!$A:$A,0)),"")</f>
        <v/>
      </c>
      <c r="E94" s="9"/>
      <c r="F94" s="9"/>
      <c r="G94" s="9"/>
      <c r="H94" s="9"/>
      <c r="I94" s="9"/>
      <c r="J94" s="9"/>
      <c r="K94" s="9"/>
      <c r="L94" s="9"/>
      <c r="M94" s="9"/>
      <c r="N94" s="20" t="str">
        <f t="shared" si="1"/>
        <v/>
      </c>
      <c r="O94" s="9"/>
    </row>
    <row r="95" ht="15.75" customHeight="1">
      <c r="A95" s="9"/>
      <c r="B95" s="9"/>
      <c r="C95" s="9"/>
      <c r="D95" s="20" t="str">
        <f t="array" ref="D95">IFERROR(INDEX('Регистър на риска'!$I:$I,MATCH(A95,'Регистър на риска'!$A:$A,0)),"")</f>
        <v/>
      </c>
      <c r="E95" s="9"/>
      <c r="F95" s="9"/>
      <c r="G95" s="9"/>
      <c r="H95" s="9"/>
      <c r="I95" s="9"/>
      <c r="J95" s="9"/>
      <c r="K95" s="9"/>
      <c r="L95" s="9"/>
      <c r="M95" s="9"/>
      <c r="N95" s="20" t="str">
        <f t="shared" si="1"/>
        <v/>
      </c>
      <c r="O95" s="9"/>
    </row>
    <row r="96" ht="15.75" customHeight="1">
      <c r="A96" s="9"/>
      <c r="B96" s="9"/>
      <c r="C96" s="9"/>
      <c r="D96" s="20" t="str">
        <f t="array" ref="D96">IFERROR(INDEX('Регистър на риска'!$I:$I,MATCH(A96,'Регистър на риска'!$A:$A,0)),"")</f>
        <v/>
      </c>
      <c r="E96" s="9"/>
      <c r="F96" s="9"/>
      <c r="G96" s="9"/>
      <c r="H96" s="9"/>
      <c r="I96" s="9"/>
      <c r="J96" s="9"/>
      <c r="K96" s="9"/>
      <c r="L96" s="9"/>
      <c r="M96" s="9"/>
      <c r="N96" s="20" t="str">
        <f t="shared" si="1"/>
        <v/>
      </c>
      <c r="O96" s="9"/>
    </row>
    <row r="97" ht="15.75" customHeight="1">
      <c r="A97" s="9"/>
      <c r="B97" s="9"/>
      <c r="C97" s="9"/>
      <c r="D97" s="20" t="str">
        <f t="array" ref="D97">IFERROR(INDEX('Регистър на риска'!$I:$I,MATCH(A97,'Регистър на риска'!$A:$A,0)),"")</f>
        <v/>
      </c>
      <c r="E97" s="9"/>
      <c r="F97" s="9"/>
      <c r="G97" s="9"/>
      <c r="H97" s="9"/>
      <c r="I97" s="9"/>
      <c r="J97" s="9"/>
      <c r="K97" s="9"/>
      <c r="L97" s="9"/>
      <c r="M97" s="9"/>
      <c r="N97" s="20" t="str">
        <f t="shared" si="1"/>
        <v/>
      </c>
      <c r="O97" s="9"/>
    </row>
    <row r="98" ht="15.75" customHeight="1">
      <c r="A98" s="9"/>
      <c r="B98" s="9"/>
      <c r="C98" s="9"/>
      <c r="D98" s="20" t="str">
        <f t="array" ref="D98">IFERROR(INDEX('Регистър на риска'!$I:$I,MATCH(A98,'Регистър на риска'!$A:$A,0)),"")</f>
        <v/>
      </c>
      <c r="E98" s="9"/>
      <c r="F98" s="9"/>
      <c r="G98" s="9"/>
      <c r="H98" s="9"/>
      <c r="I98" s="9"/>
      <c r="J98" s="9"/>
      <c r="K98" s="9"/>
      <c r="L98" s="9"/>
      <c r="M98" s="9"/>
      <c r="N98" s="20" t="str">
        <f t="shared" si="1"/>
        <v/>
      </c>
      <c r="O98" s="9"/>
    </row>
    <row r="99" ht="15.75" customHeight="1">
      <c r="A99" s="9"/>
      <c r="B99" s="9"/>
      <c r="C99" s="9"/>
      <c r="D99" s="20" t="str">
        <f t="array" ref="D99">IFERROR(INDEX('Регистър на риска'!$I:$I,MATCH(A99,'Регистър на риска'!$A:$A,0)),"")</f>
        <v/>
      </c>
      <c r="E99" s="9"/>
      <c r="F99" s="9"/>
      <c r="G99" s="9"/>
      <c r="H99" s="9"/>
      <c r="I99" s="9"/>
      <c r="J99" s="9"/>
      <c r="K99" s="9"/>
      <c r="L99" s="9"/>
      <c r="M99" s="9"/>
      <c r="N99" s="20" t="str">
        <f t="shared" si="1"/>
        <v/>
      </c>
      <c r="O99" s="9"/>
    </row>
    <row r="100" ht="15.75" customHeight="1">
      <c r="A100" s="9"/>
      <c r="B100" s="9"/>
      <c r="C100" s="9"/>
      <c r="D100" s="20" t="str">
        <f t="array" ref="D100">IFERROR(INDEX('Регистър на риска'!$I:$I,MATCH(A100,'Регистър на риска'!$A:$A,0)),"")</f>
        <v/>
      </c>
      <c r="E100" s="9"/>
      <c r="F100" s="9"/>
      <c r="G100" s="9"/>
      <c r="H100" s="9"/>
      <c r="I100" s="9"/>
      <c r="J100" s="9"/>
      <c r="K100" s="9"/>
      <c r="L100" s="9"/>
      <c r="M100" s="9"/>
      <c r="N100" s="20" t="str">
        <f t="shared" si="1"/>
        <v/>
      </c>
      <c r="O100" s="9"/>
    </row>
    <row r="101" ht="15.75" customHeight="1">
      <c r="A101" s="9"/>
      <c r="B101" s="9"/>
      <c r="C101" s="9"/>
      <c r="D101" s="20" t="str">
        <f t="array" ref="D101">IFERROR(INDEX('Регистър на риска'!$I:$I,MATCH(A101,'Регистър на риска'!$A:$A,0)),"")</f>
        <v/>
      </c>
      <c r="E101" s="9"/>
      <c r="F101" s="9"/>
      <c r="G101" s="9"/>
      <c r="H101" s="9"/>
      <c r="I101" s="9"/>
      <c r="J101" s="9"/>
      <c r="K101" s="9"/>
      <c r="L101" s="9"/>
      <c r="M101" s="9"/>
      <c r="N101" s="20" t="str">
        <f t="shared" si="1"/>
        <v/>
      </c>
      <c r="O101" s="9"/>
    </row>
    <row r="102" ht="15.75" customHeight="1">
      <c r="A102" s="9"/>
      <c r="B102" s="9"/>
      <c r="C102" s="9"/>
      <c r="D102" s="20" t="str">
        <f t="array" ref="D102">IFERROR(INDEX('Регистър на риска'!$I:$I,MATCH(A102,'Регистър на риска'!$A:$A,0)),"")</f>
        <v/>
      </c>
      <c r="E102" s="9"/>
      <c r="F102" s="9"/>
      <c r="G102" s="9"/>
      <c r="H102" s="9"/>
      <c r="I102" s="9"/>
      <c r="J102" s="9"/>
      <c r="K102" s="9"/>
      <c r="L102" s="9"/>
      <c r="M102" s="9"/>
      <c r="N102" s="20" t="str">
        <f t="shared" si="1"/>
        <v/>
      </c>
      <c r="O102" s="9"/>
    </row>
    <row r="103" ht="15.75" customHeight="1">
      <c r="A103" s="9"/>
      <c r="B103" s="9"/>
      <c r="C103" s="9"/>
      <c r="D103" s="20" t="str">
        <f t="array" ref="D103">IFERROR(INDEX('Регистър на риска'!$I:$I,MATCH(A103,'Регистър на риска'!$A:$A,0)),"")</f>
        <v/>
      </c>
      <c r="E103" s="9"/>
      <c r="F103" s="9"/>
      <c r="G103" s="9"/>
      <c r="H103" s="9"/>
      <c r="I103" s="9"/>
      <c r="J103" s="9"/>
      <c r="K103" s="9"/>
      <c r="L103" s="9"/>
      <c r="M103" s="9"/>
      <c r="N103" s="20" t="str">
        <f t="shared" si="1"/>
        <v/>
      </c>
      <c r="O103" s="9"/>
    </row>
    <row r="104" ht="15.75" customHeight="1">
      <c r="A104" s="9"/>
      <c r="B104" s="9"/>
      <c r="C104" s="9"/>
      <c r="D104" s="20" t="str">
        <f t="array" ref="D104">IFERROR(INDEX('Регистър на риска'!$I:$I,MATCH(A104,'Регистър на риска'!$A:$A,0)),"")</f>
        <v/>
      </c>
      <c r="E104" s="9"/>
      <c r="F104" s="9"/>
      <c r="G104" s="9"/>
      <c r="H104" s="9"/>
      <c r="I104" s="9"/>
      <c r="J104" s="9"/>
      <c r="K104" s="9"/>
      <c r="L104" s="9"/>
      <c r="M104" s="9"/>
      <c r="N104" s="20" t="str">
        <f t="shared" si="1"/>
        <v/>
      </c>
      <c r="O104" s="9"/>
    </row>
    <row r="105" ht="15.75" customHeight="1">
      <c r="A105" s="9"/>
      <c r="B105" s="9"/>
      <c r="C105" s="9"/>
      <c r="D105" s="20" t="str">
        <f t="array" ref="D105">IFERROR(INDEX('Регистър на риска'!$I:$I,MATCH(A105,'Регистър на риска'!$A:$A,0)),"")</f>
        <v/>
      </c>
      <c r="E105" s="9"/>
      <c r="F105" s="9"/>
      <c r="G105" s="9"/>
      <c r="H105" s="9"/>
      <c r="I105" s="9"/>
      <c r="J105" s="9"/>
      <c r="K105" s="9"/>
      <c r="L105" s="9"/>
      <c r="M105" s="9"/>
      <c r="N105" s="20" t="str">
        <f t="shared" si="1"/>
        <v/>
      </c>
      <c r="O105" s="9"/>
    </row>
    <row r="106" ht="15.75" customHeight="1">
      <c r="A106" s="9"/>
      <c r="B106" s="9"/>
      <c r="C106" s="9"/>
      <c r="D106" s="20" t="str">
        <f t="array" ref="D106">IFERROR(INDEX('Регистър на риска'!$I:$I,MATCH(A106,'Регистър на риска'!$A:$A,0)),"")</f>
        <v/>
      </c>
      <c r="E106" s="9"/>
      <c r="F106" s="9"/>
      <c r="G106" s="9"/>
      <c r="H106" s="9"/>
      <c r="I106" s="9"/>
      <c r="J106" s="9"/>
      <c r="K106" s="9"/>
      <c r="L106" s="9"/>
      <c r="M106" s="9"/>
      <c r="N106" s="20" t="str">
        <f t="shared" si="1"/>
        <v/>
      </c>
      <c r="O106" s="9"/>
    </row>
    <row r="107" ht="15.75" customHeight="1">
      <c r="A107" s="9"/>
      <c r="B107" s="9"/>
      <c r="C107" s="9"/>
      <c r="D107" s="20" t="str">
        <f t="array" ref="D107">IFERROR(INDEX('Регистър на риска'!$I:$I,MATCH(A107,'Регистър на риска'!$A:$A,0)),"")</f>
        <v/>
      </c>
      <c r="E107" s="9"/>
      <c r="F107" s="9"/>
      <c r="G107" s="9"/>
      <c r="H107" s="9"/>
      <c r="I107" s="9"/>
      <c r="J107" s="9"/>
      <c r="K107" s="9"/>
      <c r="L107" s="9"/>
      <c r="M107" s="9"/>
      <c r="N107" s="20" t="str">
        <f t="shared" si="1"/>
        <v/>
      </c>
      <c r="O107" s="9"/>
    </row>
    <row r="108" ht="15.75" customHeight="1">
      <c r="A108" s="9"/>
      <c r="B108" s="9"/>
      <c r="C108" s="9"/>
      <c r="D108" s="20" t="str">
        <f t="array" ref="D108">IFERROR(INDEX('Регистър на риска'!$I:$I,MATCH(A108,'Регистър на риска'!$A:$A,0)),"")</f>
        <v/>
      </c>
      <c r="E108" s="9"/>
      <c r="F108" s="9"/>
      <c r="G108" s="9"/>
      <c r="H108" s="9"/>
      <c r="I108" s="9"/>
      <c r="J108" s="9"/>
      <c r="K108" s="9"/>
      <c r="L108" s="9"/>
      <c r="M108" s="9"/>
      <c r="N108" s="20" t="str">
        <f t="shared" si="1"/>
        <v/>
      </c>
      <c r="O108" s="9"/>
    </row>
    <row r="109" ht="15.75" customHeight="1">
      <c r="A109" s="9"/>
      <c r="B109" s="9"/>
      <c r="C109" s="9"/>
      <c r="D109" s="20" t="str">
        <f t="array" ref="D109">IFERROR(INDEX('Регистър на риска'!$I:$I,MATCH(A109,'Регистър на риска'!$A:$A,0)),"")</f>
        <v/>
      </c>
      <c r="E109" s="9"/>
      <c r="F109" s="9"/>
      <c r="G109" s="9"/>
      <c r="H109" s="9"/>
      <c r="I109" s="9"/>
      <c r="J109" s="9"/>
      <c r="K109" s="9"/>
      <c r="L109" s="9"/>
      <c r="M109" s="9"/>
      <c r="N109" s="20" t="str">
        <f t="shared" si="1"/>
        <v/>
      </c>
      <c r="O109" s="9"/>
    </row>
    <row r="110" ht="15.75" customHeight="1">
      <c r="A110" s="9"/>
      <c r="B110" s="9"/>
      <c r="C110" s="9"/>
      <c r="D110" s="20" t="str">
        <f t="array" ref="D110">IFERROR(INDEX('Регистър на риска'!$I:$I,MATCH(A110,'Регистър на риска'!$A:$A,0)),"")</f>
        <v/>
      </c>
      <c r="E110" s="9"/>
      <c r="F110" s="9"/>
      <c r="G110" s="9"/>
      <c r="H110" s="9"/>
      <c r="I110" s="9"/>
      <c r="J110" s="9"/>
      <c r="K110" s="9"/>
      <c r="L110" s="9"/>
      <c r="M110" s="9"/>
      <c r="N110" s="20" t="str">
        <f t="shared" si="1"/>
        <v/>
      </c>
      <c r="O110" s="9"/>
    </row>
    <row r="111" ht="15.75" customHeight="1">
      <c r="A111" s="9"/>
      <c r="B111" s="9"/>
      <c r="C111" s="9"/>
      <c r="D111" s="20" t="str">
        <f t="array" ref="D111">IFERROR(INDEX('Регистър на риска'!$I:$I,MATCH(A111,'Регистър на риска'!$A:$A,0)),"")</f>
        <v/>
      </c>
      <c r="E111" s="9"/>
      <c r="F111" s="9"/>
      <c r="G111" s="9"/>
      <c r="H111" s="9"/>
      <c r="I111" s="9"/>
      <c r="J111" s="9"/>
      <c r="K111" s="9"/>
      <c r="L111" s="9"/>
      <c r="M111" s="9"/>
      <c r="N111" s="20" t="str">
        <f t="shared" si="1"/>
        <v/>
      </c>
      <c r="O111" s="9"/>
    </row>
    <row r="112" ht="15.75" customHeight="1">
      <c r="A112" s="9"/>
      <c r="B112" s="9"/>
      <c r="C112" s="9"/>
      <c r="D112" s="20" t="str">
        <f t="array" ref="D112">IFERROR(INDEX('Регистър на риска'!$I:$I,MATCH(A112,'Регистър на риска'!$A:$A,0)),"")</f>
        <v/>
      </c>
      <c r="E112" s="9"/>
      <c r="F112" s="9"/>
      <c r="G112" s="9"/>
      <c r="H112" s="9"/>
      <c r="I112" s="9"/>
      <c r="J112" s="9"/>
      <c r="K112" s="9"/>
      <c r="L112" s="9"/>
      <c r="M112" s="9"/>
      <c r="N112" s="20" t="str">
        <f t="shared" si="1"/>
        <v/>
      </c>
      <c r="O112" s="9"/>
    </row>
    <row r="113" ht="15.75" customHeight="1">
      <c r="A113" s="9"/>
      <c r="B113" s="9"/>
      <c r="C113" s="9"/>
      <c r="D113" s="20" t="str">
        <f t="array" ref="D113">IFERROR(INDEX('Регистър на риска'!$I:$I,MATCH(A113,'Регистър на риска'!$A:$A,0)),"")</f>
        <v/>
      </c>
      <c r="E113" s="9"/>
      <c r="F113" s="9"/>
      <c r="G113" s="9"/>
      <c r="H113" s="9"/>
      <c r="I113" s="9"/>
      <c r="J113" s="9"/>
      <c r="K113" s="9"/>
      <c r="L113" s="9"/>
      <c r="M113" s="9"/>
      <c r="N113" s="20" t="str">
        <f t="shared" si="1"/>
        <v/>
      </c>
      <c r="O113" s="9"/>
    </row>
    <row r="114" ht="15.75" customHeight="1">
      <c r="A114" s="9"/>
      <c r="B114" s="9"/>
      <c r="C114" s="9"/>
      <c r="D114" s="20" t="str">
        <f t="array" ref="D114">IFERROR(INDEX('Регистър на риска'!$I:$I,MATCH(A114,'Регистър на риска'!$A:$A,0)),"")</f>
        <v/>
      </c>
      <c r="E114" s="9"/>
      <c r="F114" s="9"/>
      <c r="G114" s="9"/>
      <c r="H114" s="9"/>
      <c r="I114" s="9"/>
      <c r="J114" s="9"/>
      <c r="K114" s="9"/>
      <c r="L114" s="9"/>
      <c r="M114" s="9"/>
      <c r="N114" s="20" t="str">
        <f t="shared" si="1"/>
        <v/>
      </c>
      <c r="O114" s="9"/>
    </row>
    <row r="115" ht="15.75" customHeight="1">
      <c r="A115" s="9"/>
      <c r="B115" s="9"/>
      <c r="C115" s="9"/>
      <c r="D115" s="20" t="str">
        <f t="array" ref="D115">IFERROR(INDEX('Регистър на риска'!$I:$I,MATCH(A115,'Регистър на риска'!$A:$A,0)),"")</f>
        <v/>
      </c>
      <c r="E115" s="9"/>
      <c r="F115" s="9"/>
      <c r="G115" s="9"/>
      <c r="H115" s="9"/>
      <c r="I115" s="9"/>
      <c r="J115" s="9"/>
      <c r="K115" s="9"/>
      <c r="L115" s="9"/>
      <c r="M115" s="9"/>
      <c r="N115" s="20" t="str">
        <f t="shared" si="1"/>
        <v/>
      </c>
      <c r="O115" s="9"/>
    </row>
    <row r="116" ht="15.75" customHeight="1">
      <c r="A116" s="9"/>
      <c r="B116" s="9"/>
      <c r="C116" s="9"/>
      <c r="D116" s="20" t="str">
        <f t="array" ref="D116">IFERROR(INDEX('Регистър на риска'!$I:$I,MATCH(A116,'Регистър на риска'!$A:$A,0)),"")</f>
        <v/>
      </c>
      <c r="E116" s="9"/>
      <c r="F116" s="9"/>
      <c r="G116" s="9"/>
      <c r="H116" s="9"/>
      <c r="I116" s="9"/>
      <c r="J116" s="9"/>
      <c r="K116" s="9"/>
      <c r="L116" s="9"/>
      <c r="M116" s="9"/>
      <c r="N116" s="20" t="str">
        <f t="shared" si="1"/>
        <v/>
      </c>
      <c r="O116" s="9"/>
    </row>
    <row r="117" ht="15.75" customHeight="1">
      <c r="A117" s="9"/>
      <c r="B117" s="9"/>
      <c r="C117" s="9"/>
      <c r="D117" s="20" t="str">
        <f t="array" ref="D117">IFERROR(INDEX('Регистър на риска'!$I:$I,MATCH(A117,'Регистър на риска'!$A:$A,0)),"")</f>
        <v/>
      </c>
      <c r="E117" s="9"/>
      <c r="F117" s="9"/>
      <c r="G117" s="9"/>
      <c r="H117" s="9"/>
      <c r="I117" s="9"/>
      <c r="J117" s="9"/>
      <c r="K117" s="9"/>
      <c r="L117" s="9"/>
      <c r="M117" s="9"/>
      <c r="N117" s="20" t="str">
        <f t="shared" si="1"/>
        <v/>
      </c>
      <c r="O117" s="9"/>
    </row>
    <row r="118" ht="15.75" customHeight="1">
      <c r="A118" s="9"/>
      <c r="B118" s="9"/>
      <c r="C118" s="9"/>
      <c r="D118" s="20" t="str">
        <f t="array" ref="D118">IFERROR(INDEX('Регистър на риска'!$I:$I,MATCH(A118,'Регистър на риска'!$A:$A,0)),"")</f>
        <v/>
      </c>
      <c r="E118" s="9"/>
      <c r="F118" s="9"/>
      <c r="G118" s="9"/>
      <c r="H118" s="9"/>
      <c r="I118" s="9"/>
      <c r="J118" s="9"/>
      <c r="K118" s="9"/>
      <c r="L118" s="9"/>
      <c r="M118" s="9"/>
      <c r="N118" s="20" t="str">
        <f t="shared" si="1"/>
        <v/>
      </c>
      <c r="O118" s="9"/>
    </row>
    <row r="119" ht="15.75" customHeight="1">
      <c r="A119" s="9"/>
      <c r="B119" s="9"/>
      <c r="C119" s="9"/>
      <c r="D119" s="20" t="str">
        <f t="array" ref="D119">IFERROR(INDEX('Регистър на риска'!$I:$I,MATCH(A119,'Регистър на риска'!$A:$A,0)),"")</f>
        <v/>
      </c>
      <c r="E119" s="9"/>
      <c r="F119" s="9"/>
      <c r="G119" s="9"/>
      <c r="H119" s="9"/>
      <c r="I119" s="9"/>
      <c r="J119" s="9"/>
      <c r="K119" s="9"/>
      <c r="L119" s="9"/>
      <c r="M119" s="9"/>
      <c r="N119" s="20" t="str">
        <f t="shared" si="1"/>
        <v/>
      </c>
      <c r="O119" s="9"/>
    </row>
    <row r="120" ht="15.75" customHeight="1">
      <c r="A120" s="9"/>
      <c r="B120" s="9"/>
      <c r="C120" s="9"/>
      <c r="D120" s="20" t="str">
        <f t="array" ref="D120">IFERROR(INDEX('Регистър на риска'!$I:$I,MATCH(A120,'Регистър на риска'!$A:$A,0)),"")</f>
        <v/>
      </c>
      <c r="E120" s="9"/>
      <c r="F120" s="9"/>
      <c r="G120" s="9"/>
      <c r="H120" s="9"/>
      <c r="I120" s="9"/>
      <c r="J120" s="9"/>
      <c r="K120" s="9"/>
      <c r="L120" s="9"/>
      <c r="M120" s="9"/>
      <c r="N120" s="20" t="str">
        <f t="shared" si="1"/>
        <v/>
      </c>
      <c r="O120" s="9"/>
    </row>
    <row r="121" ht="15.75" customHeight="1">
      <c r="A121" s="9"/>
      <c r="B121" s="9"/>
      <c r="C121" s="9"/>
      <c r="D121" s="20" t="str">
        <f t="array" ref="D121">IFERROR(INDEX('Регистър на риска'!$I:$I,MATCH(A121,'Регистър на риска'!$A:$A,0)),"")</f>
        <v/>
      </c>
      <c r="E121" s="9"/>
      <c r="F121" s="9"/>
      <c r="G121" s="9"/>
      <c r="H121" s="9"/>
      <c r="I121" s="9"/>
      <c r="J121" s="9"/>
      <c r="K121" s="9"/>
      <c r="L121" s="9"/>
      <c r="M121" s="9"/>
      <c r="N121" s="20" t="str">
        <f t="shared" si="1"/>
        <v/>
      </c>
      <c r="O121" s="9"/>
    </row>
    <row r="122" ht="15.75" customHeight="1">
      <c r="A122" s="9"/>
      <c r="B122" s="9"/>
      <c r="C122" s="9"/>
      <c r="D122" s="20" t="str">
        <f t="array" ref="D122">IFERROR(INDEX('Регистър на риска'!$I:$I,MATCH(A122,'Регистър на риска'!$A:$A,0)),"")</f>
        <v/>
      </c>
      <c r="E122" s="9"/>
      <c r="F122" s="9"/>
      <c r="G122" s="9"/>
      <c r="H122" s="9"/>
      <c r="I122" s="9"/>
      <c r="J122" s="9"/>
      <c r="K122" s="9"/>
      <c r="L122" s="9"/>
      <c r="M122" s="9"/>
      <c r="N122" s="20" t="str">
        <f t="shared" si="1"/>
        <v/>
      </c>
      <c r="O122" s="9"/>
    </row>
    <row r="123" ht="15.75" customHeight="1">
      <c r="A123" s="9"/>
      <c r="B123" s="9"/>
      <c r="C123" s="9"/>
      <c r="D123" s="20" t="str">
        <f t="array" ref="D123">IFERROR(INDEX('Регистър на риска'!$I:$I,MATCH(A123,'Регистър на риска'!$A:$A,0)),"")</f>
        <v/>
      </c>
      <c r="E123" s="9"/>
      <c r="F123" s="9"/>
      <c r="G123" s="9"/>
      <c r="H123" s="9"/>
      <c r="I123" s="9"/>
      <c r="J123" s="9"/>
      <c r="K123" s="9"/>
      <c r="L123" s="9"/>
      <c r="M123" s="9"/>
      <c r="N123" s="20" t="str">
        <f t="shared" si="1"/>
        <v/>
      </c>
      <c r="O123" s="9"/>
    </row>
    <row r="124" ht="15.75" customHeight="1">
      <c r="A124" s="9"/>
      <c r="B124" s="9"/>
      <c r="C124" s="9"/>
      <c r="D124" s="20" t="str">
        <f t="array" ref="D124">IFERROR(INDEX('Регистър на риска'!$I:$I,MATCH(A124,'Регистър на риска'!$A:$A,0)),"")</f>
        <v/>
      </c>
      <c r="E124" s="9"/>
      <c r="F124" s="9"/>
      <c r="G124" s="9"/>
      <c r="H124" s="9"/>
      <c r="I124" s="9"/>
      <c r="J124" s="9"/>
      <c r="K124" s="9"/>
      <c r="L124" s="9"/>
      <c r="M124" s="9"/>
      <c r="N124" s="20" t="str">
        <f t="shared" si="1"/>
        <v/>
      </c>
      <c r="O124" s="9"/>
    </row>
    <row r="125" ht="15.75" customHeight="1">
      <c r="A125" s="9"/>
      <c r="B125" s="9"/>
      <c r="C125" s="9"/>
      <c r="D125" s="20" t="str">
        <f t="array" ref="D125">IFERROR(INDEX('Регистър на риска'!$I:$I,MATCH(A125,'Регистър на риска'!$A:$A,0)),"")</f>
        <v/>
      </c>
      <c r="E125" s="9"/>
      <c r="F125" s="9"/>
      <c r="G125" s="9"/>
      <c r="H125" s="9"/>
      <c r="I125" s="9"/>
      <c r="J125" s="9"/>
      <c r="K125" s="9"/>
      <c r="L125" s="9"/>
      <c r="M125" s="9"/>
      <c r="N125" s="20" t="str">
        <f t="shared" si="1"/>
        <v/>
      </c>
      <c r="O125" s="9"/>
    </row>
    <row r="126" ht="15.75" customHeight="1">
      <c r="A126" s="9"/>
      <c r="B126" s="9"/>
      <c r="C126" s="9"/>
      <c r="D126" s="20" t="str">
        <f t="array" ref="D126">IFERROR(INDEX('Регистър на риска'!$I:$I,MATCH(A126,'Регистър на риска'!$A:$A,0)),"")</f>
        <v/>
      </c>
      <c r="E126" s="9"/>
      <c r="F126" s="9"/>
      <c r="G126" s="9"/>
      <c r="H126" s="9"/>
      <c r="I126" s="9"/>
      <c r="J126" s="9"/>
      <c r="K126" s="9"/>
      <c r="L126" s="9"/>
      <c r="M126" s="9"/>
      <c r="N126" s="20" t="str">
        <f t="shared" si="1"/>
        <v/>
      </c>
      <c r="O126" s="9"/>
    </row>
    <row r="127" ht="15.75" customHeight="1">
      <c r="A127" s="9"/>
      <c r="B127" s="9"/>
      <c r="C127" s="9"/>
      <c r="D127" s="20" t="str">
        <f t="array" ref="D127">IFERROR(INDEX('Регистър на риска'!$I:$I,MATCH(A127,'Регистър на риска'!$A:$A,0)),"")</f>
        <v/>
      </c>
      <c r="E127" s="9"/>
      <c r="F127" s="9"/>
      <c r="G127" s="9"/>
      <c r="H127" s="9"/>
      <c r="I127" s="9"/>
      <c r="J127" s="9"/>
      <c r="K127" s="9"/>
      <c r="L127" s="9"/>
      <c r="M127" s="9"/>
      <c r="N127" s="20" t="str">
        <f t="shared" si="1"/>
        <v/>
      </c>
      <c r="O127" s="9"/>
    </row>
    <row r="128" ht="15.75" customHeight="1">
      <c r="A128" s="9"/>
      <c r="B128" s="9"/>
      <c r="C128" s="9"/>
      <c r="D128" s="20" t="str">
        <f t="array" ref="D128">IFERROR(INDEX('Регистър на риска'!$I:$I,MATCH(A128,'Регистър на риска'!$A:$A,0)),"")</f>
        <v/>
      </c>
      <c r="E128" s="9"/>
      <c r="F128" s="9"/>
      <c r="G128" s="9"/>
      <c r="H128" s="9"/>
      <c r="I128" s="9"/>
      <c r="J128" s="9"/>
      <c r="K128" s="9"/>
      <c r="L128" s="9"/>
      <c r="M128" s="9"/>
      <c r="N128" s="20" t="str">
        <f t="shared" si="1"/>
        <v/>
      </c>
      <c r="O128" s="9"/>
    </row>
    <row r="129" ht="15.75" customHeight="1">
      <c r="A129" s="9"/>
      <c r="B129" s="9"/>
      <c r="C129" s="9"/>
      <c r="D129" s="20" t="str">
        <f t="array" ref="D129">IFERROR(INDEX('Регистър на риска'!$I:$I,MATCH(A129,'Регистър на риска'!$A:$A,0)),"")</f>
        <v/>
      </c>
      <c r="E129" s="9"/>
      <c r="F129" s="9"/>
      <c r="G129" s="9"/>
      <c r="H129" s="9"/>
      <c r="I129" s="9"/>
      <c r="J129" s="9"/>
      <c r="K129" s="9"/>
      <c r="L129" s="9"/>
      <c r="M129" s="9"/>
      <c r="N129" s="20" t="str">
        <f t="shared" si="1"/>
        <v/>
      </c>
      <c r="O129" s="9"/>
    </row>
    <row r="130" ht="15.75" customHeight="1">
      <c r="A130" s="9"/>
      <c r="B130" s="9"/>
      <c r="C130" s="9"/>
      <c r="D130" s="20" t="str">
        <f t="array" ref="D130">IFERROR(INDEX('Регистър на риска'!$I:$I,MATCH(A130,'Регистър на риска'!$A:$A,0)),"")</f>
        <v/>
      </c>
      <c r="E130" s="9"/>
      <c r="F130" s="9"/>
      <c r="G130" s="9"/>
      <c r="H130" s="9"/>
      <c r="I130" s="9"/>
      <c r="J130" s="9"/>
      <c r="K130" s="9"/>
      <c r="L130" s="9"/>
      <c r="M130" s="9"/>
      <c r="N130" s="20" t="str">
        <f t="shared" si="1"/>
        <v/>
      </c>
      <c r="O130" s="9"/>
    </row>
    <row r="131" ht="15.75" customHeight="1">
      <c r="A131" s="9"/>
      <c r="B131" s="9"/>
      <c r="C131" s="9"/>
      <c r="D131" s="20" t="str">
        <f t="array" ref="D131">IFERROR(INDEX('Регистър на риска'!$I:$I,MATCH(A131,'Регистър на риска'!$A:$A,0)),"")</f>
        <v/>
      </c>
      <c r="E131" s="9"/>
      <c r="F131" s="9"/>
      <c r="G131" s="9"/>
      <c r="H131" s="9"/>
      <c r="I131" s="9"/>
      <c r="J131" s="9"/>
      <c r="K131" s="9"/>
      <c r="L131" s="9"/>
      <c r="M131" s="9"/>
      <c r="N131" s="20" t="str">
        <f t="shared" si="1"/>
        <v/>
      </c>
      <c r="O131" s="9"/>
    </row>
    <row r="132" ht="15.75" customHeight="1">
      <c r="A132" s="9"/>
      <c r="B132" s="9"/>
      <c r="C132" s="9"/>
      <c r="D132" s="20" t="str">
        <f t="array" ref="D132">IFERROR(INDEX('Регистър на риска'!$I:$I,MATCH(A132,'Регистър на риска'!$A:$A,0)),"")</f>
        <v/>
      </c>
      <c r="E132" s="9"/>
      <c r="F132" s="9"/>
      <c r="G132" s="9"/>
      <c r="H132" s="9"/>
      <c r="I132" s="9"/>
      <c r="J132" s="9"/>
      <c r="K132" s="9"/>
      <c r="L132" s="9"/>
      <c r="M132" s="9"/>
      <c r="N132" s="20" t="str">
        <f t="shared" si="1"/>
        <v/>
      </c>
      <c r="O132" s="9"/>
    </row>
    <row r="133" ht="15.75" customHeight="1">
      <c r="A133" s="9"/>
      <c r="B133" s="9"/>
      <c r="C133" s="9"/>
      <c r="D133" s="20" t="str">
        <f t="array" ref="D133">IFERROR(INDEX('Регистър на риска'!$I:$I,MATCH(A133,'Регистър на риска'!$A:$A,0)),"")</f>
        <v/>
      </c>
      <c r="E133" s="9"/>
      <c r="F133" s="9"/>
      <c r="G133" s="9"/>
      <c r="H133" s="9"/>
      <c r="I133" s="9"/>
      <c r="J133" s="9"/>
      <c r="K133" s="9"/>
      <c r="L133" s="9"/>
      <c r="M133" s="9"/>
      <c r="N133" s="20" t="str">
        <f t="shared" si="1"/>
        <v/>
      </c>
      <c r="O133" s="9"/>
    </row>
    <row r="134" ht="15.75" customHeight="1">
      <c r="A134" s="9"/>
      <c r="B134" s="9"/>
      <c r="C134" s="9"/>
      <c r="D134" s="20" t="str">
        <f t="array" ref="D134">IFERROR(INDEX('Регистър на риска'!$I:$I,MATCH(A134,'Регистър на риска'!$A:$A,0)),"")</f>
        <v/>
      </c>
      <c r="E134" s="9"/>
      <c r="F134" s="9"/>
      <c r="G134" s="9"/>
      <c r="H134" s="9"/>
      <c r="I134" s="9"/>
      <c r="J134" s="9"/>
      <c r="K134" s="9"/>
      <c r="L134" s="9"/>
      <c r="M134" s="9"/>
      <c r="N134" s="20" t="str">
        <f t="shared" si="1"/>
        <v/>
      </c>
      <c r="O134" s="9"/>
    </row>
    <row r="135" ht="15.75" customHeight="1">
      <c r="A135" s="9"/>
      <c r="B135" s="9"/>
      <c r="C135" s="9"/>
      <c r="D135" s="20" t="str">
        <f t="array" ref="D135">IFERROR(INDEX('Регистър на риска'!$I:$I,MATCH(A135,'Регистър на риска'!$A:$A,0)),"")</f>
        <v/>
      </c>
      <c r="E135" s="9"/>
      <c r="F135" s="9"/>
      <c r="G135" s="9"/>
      <c r="H135" s="9"/>
      <c r="I135" s="9"/>
      <c r="J135" s="9"/>
      <c r="K135" s="9"/>
      <c r="L135" s="9"/>
      <c r="M135" s="9"/>
      <c r="N135" s="20" t="str">
        <f t="shared" si="1"/>
        <v/>
      </c>
      <c r="O135" s="9"/>
    </row>
    <row r="136" ht="15.75" customHeight="1">
      <c r="A136" s="9"/>
      <c r="B136" s="9"/>
      <c r="C136" s="9"/>
      <c r="D136" s="20" t="str">
        <f t="array" ref="D136">IFERROR(INDEX('Регистър на риска'!$I:$I,MATCH(A136,'Регистър на риска'!$A:$A,0)),"")</f>
        <v/>
      </c>
      <c r="E136" s="9"/>
      <c r="F136" s="9"/>
      <c r="G136" s="9"/>
      <c r="H136" s="9"/>
      <c r="I136" s="9"/>
      <c r="J136" s="9"/>
      <c r="K136" s="9"/>
      <c r="L136" s="9"/>
      <c r="M136" s="9"/>
      <c r="N136" s="20" t="str">
        <f t="shared" si="1"/>
        <v/>
      </c>
      <c r="O136" s="9"/>
    </row>
    <row r="137" ht="15.75" customHeight="1">
      <c r="A137" s="9"/>
      <c r="B137" s="9"/>
      <c r="C137" s="9"/>
      <c r="D137" s="20" t="str">
        <f t="array" ref="D137">IFERROR(INDEX('Регистър на риска'!$I:$I,MATCH(A137,'Регистър на риска'!$A:$A,0)),"")</f>
        <v/>
      </c>
      <c r="E137" s="9"/>
      <c r="F137" s="9"/>
      <c r="G137" s="9"/>
      <c r="H137" s="9"/>
      <c r="I137" s="9"/>
      <c r="J137" s="9"/>
      <c r="K137" s="9"/>
      <c r="L137" s="9"/>
      <c r="M137" s="9"/>
      <c r="N137" s="20" t="str">
        <f t="shared" si="1"/>
        <v/>
      </c>
      <c r="O137" s="9"/>
    </row>
    <row r="138" ht="15.75" customHeight="1">
      <c r="A138" s="9"/>
      <c r="B138" s="9"/>
      <c r="C138" s="9"/>
      <c r="D138" s="20" t="str">
        <f t="array" ref="D138">IFERROR(INDEX('Регистър на риска'!$I:$I,MATCH(A138,'Регистър на риска'!$A:$A,0)),"")</f>
        <v/>
      </c>
      <c r="E138" s="9"/>
      <c r="F138" s="9"/>
      <c r="G138" s="9"/>
      <c r="H138" s="9"/>
      <c r="I138" s="9"/>
      <c r="J138" s="9"/>
      <c r="K138" s="9"/>
      <c r="L138" s="9"/>
      <c r="M138" s="9"/>
      <c r="N138" s="20" t="str">
        <f t="shared" si="1"/>
        <v/>
      </c>
      <c r="O138" s="9"/>
    </row>
    <row r="139" ht="15.75" customHeight="1">
      <c r="A139" s="9"/>
      <c r="B139" s="9"/>
      <c r="C139" s="9"/>
      <c r="D139" s="20" t="str">
        <f t="array" ref="D139">IFERROR(INDEX('Регистър на риска'!$I:$I,MATCH(A139,'Регистър на риска'!$A:$A,0)),"")</f>
        <v/>
      </c>
      <c r="E139" s="9"/>
      <c r="F139" s="9"/>
      <c r="G139" s="9"/>
      <c r="H139" s="9"/>
      <c r="I139" s="9"/>
      <c r="J139" s="9"/>
      <c r="K139" s="9"/>
      <c r="L139" s="9"/>
      <c r="M139" s="9"/>
      <c r="N139" s="20" t="str">
        <f t="shared" si="1"/>
        <v/>
      </c>
      <c r="O139" s="9"/>
    </row>
    <row r="140" ht="15.75" customHeight="1">
      <c r="A140" s="9"/>
      <c r="B140" s="9"/>
      <c r="C140" s="9"/>
      <c r="D140" s="20" t="str">
        <f t="array" ref="D140">IFERROR(INDEX('Регистър на риска'!$I:$I,MATCH(A140,'Регистър на риска'!$A:$A,0)),"")</f>
        <v/>
      </c>
      <c r="E140" s="9"/>
      <c r="F140" s="9"/>
      <c r="G140" s="9"/>
      <c r="H140" s="9"/>
      <c r="I140" s="9"/>
      <c r="J140" s="9"/>
      <c r="K140" s="9"/>
      <c r="L140" s="9"/>
      <c r="M140" s="9"/>
      <c r="N140" s="20" t="str">
        <f t="shared" si="1"/>
        <v/>
      </c>
      <c r="O140" s="9"/>
    </row>
    <row r="141" ht="15.75" customHeight="1">
      <c r="A141" s="9"/>
      <c r="B141" s="9"/>
      <c r="C141" s="9"/>
      <c r="D141" s="20" t="str">
        <f t="array" ref="D141">IFERROR(INDEX('Регистър на риска'!$I:$I,MATCH(A141,'Регистър на риска'!$A:$A,0)),"")</f>
        <v/>
      </c>
      <c r="E141" s="9"/>
      <c r="F141" s="9"/>
      <c r="G141" s="9"/>
      <c r="H141" s="9"/>
      <c r="I141" s="9"/>
      <c r="J141" s="9"/>
      <c r="K141" s="9"/>
      <c r="L141" s="9"/>
      <c r="M141" s="9"/>
      <c r="N141" s="20" t="str">
        <f t="shared" si="1"/>
        <v/>
      </c>
      <c r="O141" s="9"/>
    </row>
    <row r="142" ht="15.75" customHeight="1">
      <c r="A142" s="9"/>
      <c r="B142" s="9"/>
      <c r="C142" s="9"/>
      <c r="D142" s="20" t="str">
        <f t="array" ref="D142">IFERROR(INDEX('Регистър на риска'!$I:$I,MATCH(A142,'Регистър на риска'!$A:$A,0)),"")</f>
        <v/>
      </c>
      <c r="E142" s="9"/>
      <c r="F142" s="9"/>
      <c r="G142" s="9"/>
      <c r="H142" s="9"/>
      <c r="I142" s="9"/>
      <c r="J142" s="9"/>
      <c r="K142" s="9"/>
      <c r="L142" s="9"/>
      <c r="M142" s="9"/>
      <c r="N142" s="20" t="str">
        <f t="shared" si="1"/>
        <v/>
      </c>
      <c r="O142" s="9"/>
    </row>
    <row r="143" ht="15.75" customHeight="1">
      <c r="A143" s="9"/>
      <c r="B143" s="9"/>
      <c r="C143" s="9"/>
      <c r="D143" s="20" t="str">
        <f t="array" ref="D143">IFERROR(INDEX('Регистър на риска'!$I:$I,MATCH(A143,'Регистър на риска'!$A:$A,0)),"")</f>
        <v/>
      </c>
      <c r="E143" s="9"/>
      <c r="F143" s="9"/>
      <c r="G143" s="9"/>
      <c r="H143" s="9"/>
      <c r="I143" s="9"/>
      <c r="J143" s="9"/>
      <c r="K143" s="9"/>
      <c r="L143" s="9"/>
      <c r="M143" s="9"/>
      <c r="N143" s="20" t="str">
        <f t="shared" si="1"/>
        <v/>
      </c>
      <c r="O143" s="9"/>
    </row>
    <row r="144" ht="15.75" customHeight="1">
      <c r="A144" s="9"/>
      <c r="B144" s="9"/>
      <c r="C144" s="9"/>
      <c r="D144" s="20" t="str">
        <f t="array" ref="D144">IFERROR(INDEX('Регистър на риска'!$I:$I,MATCH(A144,'Регистър на риска'!$A:$A,0)),"")</f>
        <v/>
      </c>
      <c r="E144" s="9"/>
      <c r="F144" s="9"/>
      <c r="G144" s="9"/>
      <c r="H144" s="9"/>
      <c r="I144" s="9"/>
      <c r="J144" s="9"/>
      <c r="K144" s="9"/>
      <c r="L144" s="9"/>
      <c r="M144" s="9"/>
      <c r="N144" s="20" t="str">
        <f t="shared" si="1"/>
        <v/>
      </c>
      <c r="O144" s="9"/>
    </row>
    <row r="145" ht="15.75" customHeight="1">
      <c r="A145" s="9"/>
      <c r="B145" s="9"/>
      <c r="C145" s="9"/>
      <c r="D145" s="20" t="str">
        <f t="array" ref="D145">IFERROR(INDEX('Регистър на риска'!$I:$I,MATCH(A145,'Регистър на риска'!$A:$A,0)),"")</f>
        <v/>
      </c>
      <c r="E145" s="9"/>
      <c r="F145" s="9"/>
      <c r="G145" s="9"/>
      <c r="H145" s="9"/>
      <c r="I145" s="9"/>
      <c r="J145" s="9"/>
      <c r="K145" s="9"/>
      <c r="L145" s="9"/>
      <c r="M145" s="9"/>
      <c r="N145" s="20" t="str">
        <f t="shared" si="1"/>
        <v/>
      </c>
      <c r="O145" s="9"/>
    </row>
    <row r="146" ht="15.75" customHeight="1">
      <c r="A146" s="9"/>
      <c r="B146" s="9"/>
      <c r="C146" s="9"/>
      <c r="D146" s="20" t="str">
        <f t="array" ref="D146">IFERROR(INDEX('Регистър на риска'!$I:$I,MATCH(A146,'Регистър на риска'!$A:$A,0)),"")</f>
        <v/>
      </c>
      <c r="E146" s="9"/>
      <c r="F146" s="9"/>
      <c r="G146" s="9"/>
      <c r="H146" s="9"/>
      <c r="I146" s="9"/>
      <c r="J146" s="9"/>
      <c r="K146" s="9"/>
      <c r="L146" s="9"/>
      <c r="M146" s="9"/>
      <c r="N146" s="20" t="str">
        <f t="shared" si="1"/>
        <v/>
      </c>
      <c r="O146" s="9"/>
    </row>
    <row r="147" ht="15.75" customHeight="1">
      <c r="A147" s="9"/>
      <c r="B147" s="9"/>
      <c r="C147" s="9"/>
      <c r="D147" s="20" t="str">
        <f t="array" ref="D147">IFERROR(INDEX('Регистър на риска'!$I:$I,MATCH(A147,'Регистър на риска'!$A:$A,0)),"")</f>
        <v/>
      </c>
      <c r="E147" s="9"/>
      <c r="F147" s="9"/>
      <c r="G147" s="9"/>
      <c r="H147" s="9"/>
      <c r="I147" s="9"/>
      <c r="J147" s="9"/>
      <c r="K147" s="9"/>
      <c r="L147" s="9"/>
      <c r="M147" s="9"/>
      <c r="N147" s="20" t="str">
        <f t="shared" si="1"/>
        <v/>
      </c>
      <c r="O147" s="9"/>
    </row>
    <row r="148" ht="15.75" customHeight="1">
      <c r="A148" s="9"/>
      <c r="B148" s="9"/>
      <c r="C148" s="9"/>
      <c r="D148" s="20" t="str">
        <f t="array" ref="D148">IFERROR(INDEX('Регистър на риска'!$I:$I,MATCH(A148,'Регистър на риска'!$A:$A,0)),"")</f>
        <v/>
      </c>
      <c r="E148" s="9"/>
      <c r="F148" s="9"/>
      <c r="G148" s="9"/>
      <c r="H148" s="9"/>
      <c r="I148" s="9"/>
      <c r="J148" s="9"/>
      <c r="K148" s="9"/>
      <c r="L148" s="9"/>
      <c r="M148" s="9"/>
      <c r="N148" s="20" t="str">
        <f t="shared" si="1"/>
        <v/>
      </c>
      <c r="O148" s="9"/>
    </row>
    <row r="149" ht="15.75" customHeight="1">
      <c r="A149" s="9"/>
      <c r="B149" s="9"/>
      <c r="C149" s="9"/>
      <c r="D149" s="20" t="str">
        <f t="array" ref="D149">IFERROR(INDEX('Регистър на риска'!$I:$I,MATCH(A149,'Регистър на риска'!$A:$A,0)),"")</f>
        <v/>
      </c>
      <c r="E149" s="9"/>
      <c r="F149" s="9"/>
      <c r="G149" s="9"/>
      <c r="H149" s="9"/>
      <c r="I149" s="9"/>
      <c r="J149" s="9"/>
      <c r="K149" s="9"/>
      <c r="L149" s="9"/>
      <c r="M149" s="9"/>
      <c r="N149" s="20" t="str">
        <f t="shared" si="1"/>
        <v/>
      </c>
      <c r="O149" s="9"/>
    </row>
    <row r="150" ht="15.75" customHeight="1">
      <c r="A150" s="9"/>
      <c r="B150" s="9"/>
      <c r="C150" s="9"/>
      <c r="D150" s="20" t="str">
        <f t="array" ref="D150">IFERROR(INDEX('Регистър на риска'!$I:$I,MATCH(A150,'Регистър на риска'!$A:$A,0)),"")</f>
        <v/>
      </c>
      <c r="E150" s="9"/>
      <c r="F150" s="9"/>
      <c r="G150" s="9"/>
      <c r="H150" s="9"/>
      <c r="I150" s="9"/>
      <c r="J150" s="9"/>
      <c r="K150" s="9"/>
      <c r="L150" s="9"/>
      <c r="M150" s="9"/>
      <c r="N150" s="20" t="str">
        <f t="shared" si="1"/>
        <v/>
      </c>
      <c r="O150" s="9"/>
    </row>
    <row r="151" ht="15.75" customHeight="1">
      <c r="A151" s="9"/>
      <c r="B151" s="9"/>
      <c r="C151" s="9"/>
      <c r="D151" s="20" t="str">
        <f t="array" ref="D151">IFERROR(INDEX('Регистър на риска'!$I:$I,MATCH(A151,'Регистър на риска'!$A:$A,0)),"")</f>
        <v/>
      </c>
      <c r="E151" s="9"/>
      <c r="F151" s="9"/>
      <c r="G151" s="9"/>
      <c r="H151" s="9"/>
      <c r="I151" s="9"/>
      <c r="J151" s="9"/>
      <c r="K151" s="9"/>
      <c r="L151" s="9"/>
      <c r="M151" s="9"/>
      <c r="N151" s="20" t="str">
        <f t="shared" si="1"/>
        <v/>
      </c>
      <c r="O151" s="9"/>
    </row>
    <row r="152" ht="15.75" customHeight="1">
      <c r="A152" s="9"/>
      <c r="B152" s="9"/>
      <c r="C152" s="9"/>
      <c r="D152" s="20" t="str">
        <f t="array" ref="D152">IFERROR(INDEX('Регистър на риска'!$I:$I,MATCH(A152,'Регистър на риска'!$A:$A,0)),"")</f>
        <v/>
      </c>
      <c r="E152" s="9"/>
      <c r="F152" s="9"/>
      <c r="G152" s="9"/>
      <c r="H152" s="9"/>
      <c r="I152" s="9"/>
      <c r="J152" s="9"/>
      <c r="K152" s="9"/>
      <c r="L152" s="9"/>
      <c r="M152" s="9"/>
      <c r="N152" s="20" t="str">
        <f t="shared" si="1"/>
        <v/>
      </c>
      <c r="O152" s="9"/>
    </row>
    <row r="153" ht="15.75" customHeight="1">
      <c r="A153" s="9"/>
      <c r="B153" s="9"/>
      <c r="C153" s="9"/>
      <c r="D153" s="20" t="str">
        <f t="array" ref="D153">IFERROR(INDEX('Регистър на риска'!$I:$I,MATCH(A153,'Регистър на риска'!$A:$A,0)),"")</f>
        <v/>
      </c>
      <c r="E153" s="9"/>
      <c r="F153" s="9"/>
      <c r="G153" s="9"/>
      <c r="H153" s="9"/>
      <c r="I153" s="9"/>
      <c r="J153" s="9"/>
      <c r="K153" s="9"/>
      <c r="L153" s="9"/>
      <c r="M153" s="9"/>
      <c r="N153" s="20" t="str">
        <f t="shared" si="1"/>
        <v/>
      </c>
      <c r="O153" s="9"/>
    </row>
    <row r="154" ht="15.75" customHeight="1">
      <c r="A154" s="9"/>
      <c r="B154" s="9"/>
      <c r="C154" s="9"/>
      <c r="D154" s="20" t="str">
        <f t="array" ref="D154">IFERROR(INDEX('Регистър на риска'!$I:$I,MATCH(A154,'Регистър на риска'!$A:$A,0)),"")</f>
        <v/>
      </c>
      <c r="E154" s="9"/>
      <c r="F154" s="9"/>
      <c r="G154" s="9"/>
      <c r="H154" s="9"/>
      <c r="I154" s="9"/>
      <c r="J154" s="9"/>
      <c r="K154" s="9"/>
      <c r="L154" s="9"/>
      <c r="M154" s="9"/>
      <c r="N154" s="20" t="str">
        <f t="shared" si="1"/>
        <v/>
      </c>
      <c r="O154" s="9"/>
    </row>
    <row r="155" ht="15.75" customHeight="1">
      <c r="A155" s="9"/>
      <c r="B155" s="9"/>
      <c r="C155" s="9"/>
      <c r="D155" s="20" t="str">
        <f t="array" ref="D155">IFERROR(INDEX('Регистър на риска'!$I:$I,MATCH(A155,'Регистър на риска'!$A:$A,0)),"")</f>
        <v/>
      </c>
      <c r="E155" s="9"/>
      <c r="F155" s="9"/>
      <c r="G155" s="9"/>
      <c r="H155" s="9"/>
      <c r="I155" s="9"/>
      <c r="J155" s="9"/>
      <c r="K155" s="9"/>
      <c r="L155" s="9"/>
      <c r="M155" s="9"/>
      <c r="N155" s="20" t="str">
        <f t="shared" si="1"/>
        <v/>
      </c>
      <c r="O155" s="9"/>
    </row>
    <row r="156" ht="15.75" customHeight="1">
      <c r="A156" s="9"/>
      <c r="B156" s="9"/>
      <c r="C156" s="9"/>
      <c r="D156" s="20" t="str">
        <f t="array" ref="D156">IFERROR(INDEX('Регистър на риска'!$I:$I,MATCH(A156,'Регистър на риска'!$A:$A,0)),"")</f>
        <v/>
      </c>
      <c r="E156" s="9"/>
      <c r="F156" s="9"/>
      <c r="G156" s="9"/>
      <c r="H156" s="9"/>
      <c r="I156" s="9"/>
      <c r="J156" s="9"/>
      <c r="K156" s="9"/>
      <c r="L156" s="9"/>
      <c r="M156" s="9"/>
      <c r="N156" s="20" t="str">
        <f t="shared" si="1"/>
        <v/>
      </c>
      <c r="O156" s="9"/>
    </row>
    <row r="157" ht="15.75" customHeight="1">
      <c r="A157" s="9"/>
      <c r="B157" s="9"/>
      <c r="C157" s="9"/>
      <c r="D157" s="20" t="str">
        <f t="array" ref="D157">IFERROR(INDEX('Регистър на риска'!$I:$I,MATCH(A157,'Регистър на риска'!$A:$A,0)),"")</f>
        <v/>
      </c>
      <c r="E157" s="9"/>
      <c r="F157" s="9"/>
      <c r="G157" s="9"/>
      <c r="H157" s="9"/>
      <c r="I157" s="9"/>
      <c r="J157" s="9"/>
      <c r="K157" s="9"/>
      <c r="L157" s="9"/>
      <c r="M157" s="9"/>
      <c r="N157" s="20" t="str">
        <f t="shared" si="1"/>
        <v/>
      </c>
      <c r="O157" s="9"/>
    </row>
    <row r="158" ht="15.75" customHeight="1">
      <c r="A158" s="9"/>
      <c r="B158" s="9"/>
      <c r="C158" s="9"/>
      <c r="D158" s="20" t="str">
        <f t="array" ref="D158">IFERROR(INDEX('Регистър на риска'!$I:$I,MATCH(A158,'Регистър на риска'!$A:$A,0)),"")</f>
        <v/>
      </c>
      <c r="E158" s="9"/>
      <c r="F158" s="9"/>
      <c r="G158" s="9"/>
      <c r="H158" s="9"/>
      <c r="I158" s="9"/>
      <c r="J158" s="9"/>
      <c r="K158" s="9"/>
      <c r="L158" s="9"/>
      <c r="M158" s="9"/>
      <c r="N158" s="20" t="str">
        <f t="shared" si="1"/>
        <v/>
      </c>
      <c r="O158" s="9"/>
    </row>
    <row r="159" ht="15.75" customHeight="1">
      <c r="A159" s="9"/>
      <c r="B159" s="9"/>
      <c r="C159" s="9"/>
      <c r="D159" s="20" t="str">
        <f t="array" ref="D159">IFERROR(INDEX('Регистър на риска'!$I:$I,MATCH(A159,'Регистър на риска'!$A:$A,0)),"")</f>
        <v/>
      </c>
      <c r="E159" s="9"/>
      <c r="F159" s="9"/>
      <c r="G159" s="9"/>
      <c r="H159" s="9"/>
      <c r="I159" s="9"/>
      <c r="J159" s="9"/>
      <c r="K159" s="9"/>
      <c r="L159" s="9"/>
      <c r="M159" s="9"/>
      <c r="N159" s="20" t="str">
        <f t="shared" si="1"/>
        <v/>
      </c>
      <c r="O159" s="9"/>
    </row>
    <row r="160" ht="15.75" customHeight="1">
      <c r="A160" s="9"/>
      <c r="B160" s="9"/>
      <c r="C160" s="9"/>
      <c r="D160" s="20" t="str">
        <f t="array" ref="D160">IFERROR(INDEX('Регистър на риска'!$I:$I,MATCH(A160,'Регистър на риска'!$A:$A,0)),"")</f>
        <v/>
      </c>
      <c r="E160" s="9"/>
      <c r="F160" s="9"/>
      <c r="G160" s="9"/>
      <c r="H160" s="9"/>
      <c r="I160" s="9"/>
      <c r="J160" s="9"/>
      <c r="K160" s="9"/>
      <c r="L160" s="9"/>
      <c r="M160" s="9"/>
      <c r="N160" s="20" t="str">
        <f t="shared" si="1"/>
        <v/>
      </c>
      <c r="O160" s="9"/>
    </row>
    <row r="161" ht="15.75" customHeight="1">
      <c r="A161" s="9"/>
      <c r="B161" s="9"/>
      <c r="C161" s="9"/>
      <c r="D161" s="20" t="str">
        <f t="array" ref="D161">IFERROR(INDEX('Регистър на риска'!$I:$I,MATCH(A161,'Регистър на риска'!$A:$A,0)),"")</f>
        <v/>
      </c>
      <c r="E161" s="9"/>
      <c r="F161" s="9"/>
      <c r="G161" s="9"/>
      <c r="H161" s="9"/>
      <c r="I161" s="9"/>
      <c r="J161" s="9"/>
      <c r="K161" s="9"/>
      <c r="L161" s="9"/>
      <c r="M161" s="9"/>
      <c r="N161" s="20" t="str">
        <f t="shared" si="1"/>
        <v/>
      </c>
      <c r="O161" s="9"/>
    </row>
    <row r="162" ht="15.75" customHeight="1">
      <c r="A162" s="9"/>
      <c r="B162" s="9"/>
      <c r="C162" s="9"/>
      <c r="D162" s="20" t="str">
        <f t="array" ref="D162">IFERROR(INDEX('Регистър на риска'!$I:$I,MATCH(A162,'Регистър на риска'!$A:$A,0)),"")</f>
        <v/>
      </c>
      <c r="E162" s="9"/>
      <c r="F162" s="9"/>
      <c r="G162" s="9"/>
      <c r="H162" s="9"/>
      <c r="I162" s="9"/>
      <c r="J162" s="9"/>
      <c r="K162" s="9"/>
      <c r="L162" s="9"/>
      <c r="M162" s="9"/>
      <c r="N162" s="20" t="str">
        <f t="shared" si="1"/>
        <v/>
      </c>
      <c r="O162" s="9"/>
    </row>
    <row r="163" ht="15.75" customHeight="1">
      <c r="A163" s="9"/>
      <c r="B163" s="9"/>
      <c r="C163" s="9"/>
      <c r="D163" s="20" t="str">
        <f t="array" ref="D163">IFERROR(INDEX('Регистър на риска'!$I:$I,MATCH(A163,'Регистър на риска'!$A:$A,0)),"")</f>
        <v/>
      </c>
      <c r="E163" s="9"/>
      <c r="F163" s="9"/>
      <c r="G163" s="9"/>
      <c r="H163" s="9"/>
      <c r="I163" s="9"/>
      <c r="J163" s="9"/>
      <c r="K163" s="9"/>
      <c r="L163" s="9"/>
      <c r="M163" s="9"/>
      <c r="N163" s="20" t="str">
        <f t="shared" si="1"/>
        <v/>
      </c>
      <c r="O163" s="9"/>
    </row>
    <row r="164" ht="15.75" customHeight="1">
      <c r="A164" s="9"/>
      <c r="B164" s="9"/>
      <c r="C164" s="9"/>
      <c r="D164" s="20" t="str">
        <f t="array" ref="D164">IFERROR(INDEX('Регистър на риска'!$I:$I,MATCH(A164,'Регистър на риска'!$A:$A,0)),"")</f>
        <v/>
      </c>
      <c r="E164" s="9"/>
      <c r="F164" s="9"/>
      <c r="G164" s="9"/>
      <c r="H164" s="9"/>
      <c r="I164" s="9"/>
      <c r="J164" s="9"/>
      <c r="K164" s="9"/>
      <c r="L164" s="9"/>
      <c r="M164" s="9"/>
      <c r="N164" s="20" t="str">
        <f t="shared" si="1"/>
        <v/>
      </c>
      <c r="O164" s="9"/>
    </row>
    <row r="165" ht="15.75" customHeight="1">
      <c r="A165" s="9"/>
      <c r="B165" s="9"/>
      <c r="C165" s="9"/>
      <c r="D165" s="20" t="str">
        <f t="array" ref="D165">IFERROR(INDEX('Регистър на риска'!$I:$I,MATCH(A165,'Регистър на риска'!$A:$A,0)),"")</f>
        <v/>
      </c>
      <c r="E165" s="9"/>
      <c r="F165" s="9"/>
      <c r="G165" s="9"/>
      <c r="H165" s="9"/>
      <c r="I165" s="9"/>
      <c r="J165" s="9"/>
      <c r="K165" s="9"/>
      <c r="L165" s="9"/>
      <c r="M165" s="9"/>
      <c r="N165" s="20" t="str">
        <f t="shared" si="1"/>
        <v/>
      </c>
      <c r="O165" s="9"/>
    </row>
    <row r="166" ht="15.75" customHeight="1">
      <c r="A166" s="9"/>
      <c r="B166" s="9"/>
      <c r="C166" s="9"/>
      <c r="D166" s="20" t="str">
        <f t="array" ref="D166">IFERROR(INDEX('Регистър на риска'!$I:$I,MATCH(A166,'Регистър на риска'!$A:$A,0)),"")</f>
        <v/>
      </c>
      <c r="E166" s="9"/>
      <c r="F166" s="9"/>
      <c r="G166" s="9"/>
      <c r="H166" s="9"/>
      <c r="I166" s="9"/>
      <c r="J166" s="9"/>
      <c r="K166" s="9"/>
      <c r="L166" s="9"/>
      <c r="M166" s="9"/>
      <c r="N166" s="20" t="str">
        <f t="shared" si="1"/>
        <v/>
      </c>
      <c r="O166" s="9"/>
    </row>
    <row r="167" ht="15.75" customHeight="1">
      <c r="A167" s="9"/>
      <c r="B167" s="9"/>
      <c r="C167" s="9"/>
      <c r="D167" s="20" t="str">
        <f t="array" ref="D167">IFERROR(INDEX('Регистър на риска'!$I:$I,MATCH(A167,'Регистър на риска'!$A:$A,0)),"")</f>
        <v/>
      </c>
      <c r="E167" s="9"/>
      <c r="F167" s="9"/>
      <c r="G167" s="9"/>
      <c r="H167" s="9"/>
      <c r="I167" s="9"/>
      <c r="J167" s="9"/>
      <c r="K167" s="9"/>
      <c r="L167" s="9"/>
      <c r="M167" s="9"/>
      <c r="N167" s="20" t="str">
        <f t="shared" si="1"/>
        <v/>
      </c>
      <c r="O167" s="9"/>
    </row>
    <row r="168" ht="15.75" customHeight="1">
      <c r="A168" s="9"/>
      <c r="B168" s="9"/>
      <c r="C168" s="9"/>
      <c r="D168" s="20" t="str">
        <f t="array" ref="D168">IFERROR(INDEX('Регистър на риска'!$I:$I,MATCH(A168,'Регистър на риска'!$A:$A,0)),"")</f>
        <v/>
      </c>
      <c r="E168" s="9"/>
      <c r="F168" s="9"/>
      <c r="G168" s="9"/>
      <c r="H168" s="9"/>
      <c r="I168" s="9"/>
      <c r="J168" s="9"/>
      <c r="K168" s="9"/>
      <c r="L168" s="9"/>
      <c r="M168" s="9"/>
      <c r="N168" s="20" t="str">
        <f t="shared" si="1"/>
        <v/>
      </c>
      <c r="O168" s="9"/>
    </row>
    <row r="169" ht="15.75" customHeight="1">
      <c r="A169" s="9"/>
      <c r="B169" s="9"/>
      <c r="C169" s="9"/>
      <c r="D169" s="20" t="str">
        <f t="array" ref="D169">IFERROR(INDEX('Регистър на риска'!$I:$I,MATCH(A169,'Регистър на риска'!$A:$A,0)),"")</f>
        <v/>
      </c>
      <c r="E169" s="9"/>
      <c r="F169" s="9"/>
      <c r="G169" s="9"/>
      <c r="H169" s="9"/>
      <c r="I169" s="9"/>
      <c r="J169" s="9"/>
      <c r="K169" s="9"/>
      <c r="L169" s="9"/>
      <c r="M169" s="9"/>
      <c r="N169" s="20" t="str">
        <f t="shared" si="1"/>
        <v/>
      </c>
      <c r="O169" s="9"/>
    </row>
    <row r="170" ht="15.75" customHeight="1">
      <c r="A170" s="9"/>
      <c r="B170" s="9"/>
      <c r="C170" s="9"/>
      <c r="D170" s="20" t="str">
        <f t="array" ref="D170">IFERROR(INDEX('Регистър на риска'!$I:$I,MATCH(A170,'Регистър на риска'!$A:$A,0)),"")</f>
        <v/>
      </c>
      <c r="E170" s="9"/>
      <c r="F170" s="9"/>
      <c r="G170" s="9"/>
      <c r="H170" s="9"/>
      <c r="I170" s="9"/>
      <c r="J170" s="9"/>
      <c r="K170" s="9"/>
      <c r="L170" s="9"/>
      <c r="M170" s="9"/>
      <c r="N170" s="20" t="str">
        <f t="shared" si="1"/>
        <v/>
      </c>
      <c r="O170" s="9"/>
    </row>
    <row r="171" ht="15.75" customHeight="1">
      <c r="A171" s="9"/>
      <c r="B171" s="9"/>
      <c r="C171" s="9"/>
      <c r="D171" s="20" t="str">
        <f t="array" ref="D171">IFERROR(INDEX('Регистър на риска'!$I:$I,MATCH(A171,'Регистър на риска'!$A:$A,0)),"")</f>
        <v/>
      </c>
      <c r="E171" s="9"/>
      <c r="F171" s="9"/>
      <c r="G171" s="9"/>
      <c r="H171" s="9"/>
      <c r="I171" s="9"/>
      <c r="J171" s="9"/>
      <c r="K171" s="9"/>
      <c r="L171" s="9"/>
      <c r="M171" s="9"/>
      <c r="N171" s="20" t="str">
        <f t="shared" si="1"/>
        <v/>
      </c>
      <c r="O171" s="9"/>
    </row>
    <row r="172" ht="15.75" customHeight="1">
      <c r="A172" s="9"/>
      <c r="B172" s="9"/>
      <c r="C172" s="9"/>
      <c r="D172" s="20" t="str">
        <f t="array" ref="D172">IFERROR(INDEX('Регистър на риска'!$I:$I,MATCH(A172,'Регистър на риска'!$A:$A,0)),"")</f>
        <v/>
      </c>
      <c r="E172" s="9"/>
      <c r="F172" s="9"/>
      <c r="G172" s="9"/>
      <c r="H172" s="9"/>
      <c r="I172" s="9"/>
      <c r="J172" s="9"/>
      <c r="K172" s="9"/>
      <c r="L172" s="9"/>
      <c r="M172" s="9"/>
      <c r="N172" s="20" t="str">
        <f t="shared" si="1"/>
        <v/>
      </c>
      <c r="O172" s="9"/>
    </row>
    <row r="173" ht="15.75" customHeight="1">
      <c r="A173" s="9"/>
      <c r="B173" s="9"/>
      <c r="C173" s="9"/>
      <c r="D173" s="20" t="str">
        <f t="array" ref="D173">IFERROR(INDEX('Регистър на риска'!$I:$I,MATCH(A173,'Регистър на риска'!$A:$A,0)),"")</f>
        <v/>
      </c>
      <c r="E173" s="9"/>
      <c r="F173" s="9"/>
      <c r="G173" s="9"/>
      <c r="H173" s="9"/>
      <c r="I173" s="9"/>
      <c r="J173" s="9"/>
      <c r="K173" s="9"/>
      <c r="L173" s="9"/>
      <c r="M173" s="9"/>
      <c r="N173" s="20" t="str">
        <f t="shared" si="1"/>
        <v/>
      </c>
      <c r="O173" s="9"/>
    </row>
    <row r="174" ht="15.75" customHeight="1">
      <c r="A174" s="9"/>
      <c r="B174" s="9"/>
      <c r="C174" s="9"/>
      <c r="D174" s="20" t="str">
        <f t="array" ref="D174">IFERROR(INDEX('Регистър на риска'!$I:$I,MATCH(A174,'Регистър на риска'!$A:$A,0)),"")</f>
        <v/>
      </c>
      <c r="E174" s="9"/>
      <c r="F174" s="9"/>
      <c r="G174" s="9"/>
      <c r="H174" s="9"/>
      <c r="I174" s="9"/>
      <c r="J174" s="9"/>
      <c r="K174" s="9"/>
      <c r="L174" s="9"/>
      <c r="M174" s="9"/>
      <c r="N174" s="20" t="str">
        <f t="shared" si="1"/>
        <v/>
      </c>
      <c r="O174" s="9"/>
    </row>
    <row r="175" ht="15.75" customHeight="1">
      <c r="A175" s="9"/>
      <c r="B175" s="9"/>
      <c r="C175" s="9"/>
      <c r="D175" s="20" t="str">
        <f t="array" ref="D175">IFERROR(INDEX('Регистър на риска'!$I:$I,MATCH(A175,'Регистър на риска'!$A:$A,0)),"")</f>
        <v/>
      </c>
      <c r="E175" s="9"/>
      <c r="F175" s="9"/>
      <c r="G175" s="9"/>
      <c r="H175" s="9"/>
      <c r="I175" s="9"/>
      <c r="J175" s="9"/>
      <c r="K175" s="9"/>
      <c r="L175" s="9"/>
      <c r="M175" s="9"/>
      <c r="N175" s="20" t="str">
        <f t="shared" si="1"/>
        <v/>
      </c>
      <c r="O175" s="9"/>
    </row>
    <row r="176" ht="15.75" customHeight="1">
      <c r="A176" s="9"/>
      <c r="B176" s="9"/>
      <c r="C176" s="9"/>
      <c r="D176" s="20" t="str">
        <f t="array" ref="D176">IFERROR(INDEX('Регистър на риска'!$I:$I,MATCH(A176,'Регистър на риска'!$A:$A,0)),"")</f>
        <v/>
      </c>
      <c r="E176" s="9"/>
      <c r="F176" s="9"/>
      <c r="G176" s="9"/>
      <c r="H176" s="9"/>
      <c r="I176" s="9"/>
      <c r="J176" s="9"/>
      <c r="K176" s="9"/>
      <c r="L176" s="9"/>
      <c r="M176" s="9"/>
      <c r="N176" s="20" t="str">
        <f t="shared" si="1"/>
        <v/>
      </c>
      <c r="O176" s="9"/>
    </row>
    <row r="177" ht="15.75" customHeight="1">
      <c r="A177" s="9"/>
      <c r="B177" s="9"/>
      <c r="C177" s="9"/>
      <c r="D177" s="20" t="str">
        <f t="array" ref="D177">IFERROR(INDEX('Регистър на риска'!$I:$I,MATCH(A177,'Регистър на риска'!$A:$A,0)),"")</f>
        <v/>
      </c>
      <c r="E177" s="9"/>
      <c r="F177" s="9"/>
      <c r="G177" s="9"/>
      <c r="H177" s="9"/>
      <c r="I177" s="9"/>
      <c r="J177" s="9"/>
      <c r="K177" s="9"/>
      <c r="L177" s="9"/>
      <c r="M177" s="9"/>
      <c r="N177" s="20" t="str">
        <f t="shared" si="1"/>
        <v/>
      </c>
      <c r="O177" s="9"/>
    </row>
    <row r="178" ht="15.75" customHeight="1">
      <c r="A178" s="9"/>
      <c r="B178" s="9"/>
      <c r="C178" s="9"/>
      <c r="D178" s="20" t="str">
        <f t="array" ref="D178">IFERROR(INDEX('Регистър на риска'!$I:$I,MATCH(A178,'Регистър на риска'!$A:$A,0)),"")</f>
        <v/>
      </c>
      <c r="E178" s="9"/>
      <c r="F178" s="9"/>
      <c r="G178" s="9"/>
      <c r="H178" s="9"/>
      <c r="I178" s="9"/>
      <c r="J178" s="9"/>
      <c r="K178" s="9"/>
      <c r="L178" s="9"/>
      <c r="M178" s="9"/>
      <c r="N178" s="20" t="str">
        <f t="shared" si="1"/>
        <v/>
      </c>
      <c r="O178" s="9"/>
    </row>
    <row r="179" ht="15.75" customHeight="1">
      <c r="A179" s="9"/>
      <c r="B179" s="9"/>
      <c r="C179" s="9"/>
      <c r="D179" s="20" t="str">
        <f t="array" ref="D179">IFERROR(INDEX('Регистър на риска'!$I:$I,MATCH(A179,'Регистър на риска'!$A:$A,0)),"")</f>
        <v/>
      </c>
      <c r="E179" s="9"/>
      <c r="F179" s="9"/>
      <c r="G179" s="9"/>
      <c r="H179" s="9"/>
      <c r="I179" s="9"/>
      <c r="J179" s="9"/>
      <c r="K179" s="9"/>
      <c r="L179" s="9"/>
      <c r="M179" s="9"/>
      <c r="N179" s="20" t="str">
        <f t="shared" si="1"/>
        <v/>
      </c>
      <c r="O179" s="9"/>
    </row>
    <row r="180" ht="15.75" customHeight="1">
      <c r="A180" s="9"/>
      <c r="B180" s="9"/>
      <c r="C180" s="9"/>
      <c r="D180" s="20" t="str">
        <f t="array" ref="D180">IFERROR(INDEX('Регистър на риска'!$I:$I,MATCH(A180,'Регистър на риска'!$A:$A,0)),"")</f>
        <v/>
      </c>
      <c r="E180" s="9"/>
      <c r="F180" s="9"/>
      <c r="G180" s="9"/>
      <c r="H180" s="9"/>
      <c r="I180" s="9"/>
      <c r="J180" s="9"/>
      <c r="K180" s="9"/>
      <c r="L180" s="9"/>
      <c r="M180" s="9"/>
      <c r="N180" s="20" t="str">
        <f t="shared" si="1"/>
        <v/>
      </c>
      <c r="O180" s="9"/>
    </row>
    <row r="181" ht="15.75" customHeight="1">
      <c r="A181" s="9"/>
      <c r="B181" s="9"/>
      <c r="C181" s="9"/>
      <c r="D181" s="20" t="str">
        <f t="array" ref="D181">IFERROR(INDEX('Регистър на риска'!$I:$I,MATCH(A181,'Регистър на риска'!$A:$A,0)),"")</f>
        <v/>
      </c>
      <c r="E181" s="9"/>
      <c r="F181" s="9"/>
      <c r="G181" s="9"/>
      <c r="H181" s="9"/>
      <c r="I181" s="9"/>
      <c r="J181" s="9"/>
      <c r="K181" s="9"/>
      <c r="L181" s="9"/>
      <c r="M181" s="9"/>
      <c r="N181" s="20" t="str">
        <f t="shared" si="1"/>
        <v/>
      </c>
      <c r="O181" s="9"/>
    </row>
    <row r="182" ht="15.75" customHeight="1">
      <c r="A182" s="9"/>
      <c r="B182" s="9"/>
      <c r="C182" s="9"/>
      <c r="D182" s="20" t="str">
        <f t="array" ref="D182">IFERROR(INDEX('Регистър на риска'!$I:$I,MATCH(A182,'Регистър на риска'!$A:$A,0)),"")</f>
        <v/>
      </c>
      <c r="E182" s="9"/>
      <c r="F182" s="9"/>
      <c r="G182" s="9"/>
      <c r="H182" s="9"/>
      <c r="I182" s="9"/>
      <c r="J182" s="9"/>
      <c r="K182" s="9"/>
      <c r="L182" s="9"/>
      <c r="M182" s="9"/>
      <c r="N182" s="20" t="str">
        <f t="shared" si="1"/>
        <v/>
      </c>
      <c r="O182" s="9"/>
    </row>
    <row r="183" ht="15.75" customHeight="1">
      <c r="A183" s="9"/>
      <c r="B183" s="9"/>
      <c r="C183" s="9"/>
      <c r="D183" s="20" t="str">
        <f t="array" ref="D183">IFERROR(INDEX('Регистър на риска'!$I:$I,MATCH(A183,'Регистър на риска'!$A:$A,0)),"")</f>
        <v/>
      </c>
      <c r="E183" s="9"/>
      <c r="F183" s="9"/>
      <c r="G183" s="9"/>
      <c r="H183" s="9"/>
      <c r="I183" s="9"/>
      <c r="J183" s="9"/>
      <c r="K183" s="9"/>
      <c r="L183" s="9"/>
      <c r="M183" s="9"/>
      <c r="N183" s="20" t="str">
        <f t="shared" si="1"/>
        <v/>
      </c>
      <c r="O183" s="9"/>
    </row>
    <row r="184" ht="15.75" customHeight="1">
      <c r="A184" s="9"/>
      <c r="B184" s="9"/>
      <c r="C184" s="9"/>
      <c r="D184" s="20" t="str">
        <f t="array" ref="D184">IFERROR(INDEX('Регистър на риска'!$I:$I,MATCH(A184,'Регистър на риска'!$A:$A,0)),"")</f>
        <v/>
      </c>
      <c r="E184" s="9"/>
      <c r="F184" s="9"/>
      <c r="G184" s="9"/>
      <c r="H184" s="9"/>
      <c r="I184" s="9"/>
      <c r="J184" s="9"/>
      <c r="K184" s="9"/>
      <c r="L184" s="9"/>
      <c r="M184" s="9"/>
      <c r="N184" s="20" t="str">
        <f t="shared" si="1"/>
        <v/>
      </c>
      <c r="O184" s="9"/>
    </row>
    <row r="185" ht="15.75" customHeight="1">
      <c r="A185" s="9"/>
      <c r="B185" s="9"/>
      <c r="C185" s="9"/>
      <c r="D185" s="20" t="str">
        <f t="array" ref="D185">IFERROR(INDEX('Регистър на риска'!$I:$I,MATCH(A185,'Регистър на риска'!$A:$A,0)),"")</f>
        <v/>
      </c>
      <c r="E185" s="9"/>
      <c r="F185" s="9"/>
      <c r="G185" s="9"/>
      <c r="H185" s="9"/>
      <c r="I185" s="9"/>
      <c r="J185" s="9"/>
      <c r="K185" s="9"/>
      <c r="L185" s="9"/>
      <c r="M185" s="9"/>
      <c r="N185" s="20" t="str">
        <f t="shared" si="1"/>
        <v/>
      </c>
      <c r="O185" s="9"/>
    </row>
    <row r="186" ht="15.75" customHeight="1">
      <c r="A186" s="9"/>
      <c r="B186" s="9"/>
      <c r="C186" s="9"/>
      <c r="D186" s="20" t="str">
        <f t="array" ref="D186">IFERROR(INDEX('Регистър на риска'!$I:$I,MATCH(A186,'Регистър на риска'!$A:$A,0)),"")</f>
        <v/>
      </c>
      <c r="E186" s="9"/>
      <c r="F186" s="9"/>
      <c r="G186" s="9"/>
      <c r="H186" s="9"/>
      <c r="I186" s="9"/>
      <c r="J186" s="9"/>
      <c r="K186" s="9"/>
      <c r="L186" s="9"/>
      <c r="M186" s="9"/>
      <c r="N186" s="20" t="str">
        <f t="shared" si="1"/>
        <v/>
      </c>
      <c r="O186" s="9"/>
    </row>
    <row r="187" ht="15.75" customHeight="1">
      <c r="A187" s="9"/>
      <c r="B187" s="9"/>
      <c r="C187" s="9"/>
      <c r="D187" s="20" t="str">
        <f t="array" ref="D187">IFERROR(INDEX('Регистър на риска'!$I:$I,MATCH(A187,'Регистър на риска'!$A:$A,0)),"")</f>
        <v/>
      </c>
      <c r="E187" s="9"/>
      <c r="F187" s="9"/>
      <c r="G187" s="9"/>
      <c r="H187" s="9"/>
      <c r="I187" s="9"/>
      <c r="J187" s="9"/>
      <c r="K187" s="9"/>
      <c r="L187" s="9"/>
      <c r="M187" s="9"/>
      <c r="N187" s="20" t="str">
        <f t="shared" si="1"/>
        <v/>
      </c>
      <c r="O187" s="9"/>
    </row>
    <row r="188" ht="15.75" customHeight="1">
      <c r="A188" s="9"/>
      <c r="B188" s="9"/>
      <c r="C188" s="9"/>
      <c r="D188" s="20" t="str">
        <f t="array" ref="D188">IFERROR(INDEX('Регистър на риска'!$I:$I,MATCH(A188,'Регистър на риска'!$A:$A,0)),"")</f>
        <v/>
      </c>
      <c r="E188" s="9"/>
      <c r="F188" s="9"/>
      <c r="G188" s="9"/>
      <c r="H188" s="9"/>
      <c r="I188" s="9"/>
      <c r="J188" s="9"/>
      <c r="K188" s="9"/>
      <c r="L188" s="9"/>
      <c r="M188" s="9"/>
      <c r="N188" s="20" t="str">
        <f t="shared" si="1"/>
        <v/>
      </c>
      <c r="O188" s="9"/>
    </row>
    <row r="189" ht="15.75" customHeight="1">
      <c r="A189" s="9"/>
      <c r="B189" s="9"/>
      <c r="C189" s="9"/>
      <c r="D189" s="20" t="str">
        <f t="array" ref="D189">IFERROR(INDEX('Регистър на риска'!$I:$I,MATCH(A189,'Регистър на риска'!$A:$A,0)),"")</f>
        <v/>
      </c>
      <c r="E189" s="9"/>
      <c r="F189" s="9"/>
      <c r="G189" s="9"/>
      <c r="H189" s="9"/>
      <c r="I189" s="9"/>
      <c r="J189" s="9"/>
      <c r="K189" s="9"/>
      <c r="L189" s="9"/>
      <c r="M189" s="9"/>
      <c r="N189" s="20" t="str">
        <f t="shared" si="1"/>
        <v/>
      </c>
      <c r="O189" s="9"/>
    </row>
    <row r="190" ht="15.75" customHeight="1">
      <c r="A190" s="9"/>
      <c r="B190" s="9"/>
      <c r="C190" s="9"/>
      <c r="D190" s="20" t="str">
        <f t="array" ref="D190">IFERROR(INDEX('Регистър на риска'!$I:$I,MATCH(A190,'Регистър на риска'!$A:$A,0)),"")</f>
        <v/>
      </c>
      <c r="E190" s="9"/>
      <c r="F190" s="9"/>
      <c r="G190" s="9"/>
      <c r="H190" s="9"/>
      <c r="I190" s="9"/>
      <c r="J190" s="9"/>
      <c r="K190" s="9"/>
      <c r="L190" s="9"/>
      <c r="M190" s="9"/>
      <c r="N190" s="20" t="str">
        <f t="shared" si="1"/>
        <v/>
      </c>
      <c r="O190" s="9"/>
    </row>
    <row r="191" ht="15.75" customHeight="1">
      <c r="A191" s="9"/>
      <c r="B191" s="9"/>
      <c r="C191" s="9"/>
      <c r="D191" s="20" t="str">
        <f t="array" ref="D191">IFERROR(INDEX('Регистър на риска'!$I:$I,MATCH(A191,'Регистър на риска'!$A:$A,0)),"")</f>
        <v/>
      </c>
      <c r="E191" s="9"/>
      <c r="F191" s="9"/>
      <c r="G191" s="9"/>
      <c r="H191" s="9"/>
      <c r="I191" s="9"/>
      <c r="J191" s="9"/>
      <c r="K191" s="9"/>
      <c r="L191" s="9"/>
      <c r="M191" s="9"/>
      <c r="N191" s="20" t="str">
        <f t="shared" si="1"/>
        <v/>
      </c>
      <c r="O191" s="9"/>
    </row>
    <row r="192" ht="15.75" customHeight="1">
      <c r="A192" s="9"/>
      <c r="B192" s="9"/>
      <c r="C192" s="9"/>
      <c r="D192" s="20" t="str">
        <f t="array" ref="D192">IFERROR(INDEX('Регистър на риска'!$I:$I,MATCH(A192,'Регистър на риска'!$A:$A,0)),"")</f>
        <v/>
      </c>
      <c r="E192" s="9"/>
      <c r="F192" s="9"/>
      <c r="G192" s="9"/>
      <c r="H192" s="9"/>
      <c r="I192" s="9"/>
      <c r="J192" s="9"/>
      <c r="K192" s="9"/>
      <c r="L192" s="9"/>
      <c r="M192" s="9"/>
      <c r="N192" s="20" t="str">
        <f t="shared" si="1"/>
        <v/>
      </c>
      <c r="O192" s="9"/>
    </row>
    <row r="193" ht="15.75" customHeight="1">
      <c r="A193" s="9"/>
      <c r="B193" s="9"/>
      <c r="C193" s="9"/>
      <c r="D193" s="20" t="str">
        <f t="array" ref="D193">IFERROR(INDEX('Регистър на риска'!$I:$I,MATCH(A193,'Регистър на риска'!$A:$A,0)),"")</f>
        <v/>
      </c>
      <c r="E193" s="9"/>
      <c r="F193" s="9"/>
      <c r="G193" s="9"/>
      <c r="H193" s="9"/>
      <c r="I193" s="9"/>
      <c r="J193" s="9"/>
      <c r="K193" s="9"/>
      <c r="L193" s="9"/>
      <c r="M193" s="9"/>
      <c r="N193" s="20" t="str">
        <f t="shared" si="1"/>
        <v/>
      </c>
      <c r="O193" s="9"/>
    </row>
    <row r="194" ht="15.75" customHeight="1">
      <c r="A194" s="9"/>
      <c r="B194" s="9"/>
      <c r="C194" s="9"/>
      <c r="D194" s="20" t="str">
        <f t="array" ref="D194">IFERROR(INDEX('Регистър на риска'!$I:$I,MATCH(A194,'Регистър на риска'!$A:$A,0)),"")</f>
        <v/>
      </c>
      <c r="E194" s="9"/>
      <c r="F194" s="9"/>
      <c r="G194" s="9"/>
      <c r="H194" s="9"/>
      <c r="I194" s="9"/>
      <c r="J194" s="9"/>
      <c r="K194" s="9"/>
      <c r="L194" s="9"/>
      <c r="M194" s="9"/>
      <c r="N194" s="20" t="str">
        <f t="shared" si="1"/>
        <v/>
      </c>
      <c r="O194" s="9"/>
    </row>
    <row r="195" ht="15.75" customHeight="1">
      <c r="A195" s="9"/>
      <c r="B195" s="9"/>
      <c r="C195" s="9"/>
      <c r="D195" s="20" t="str">
        <f t="array" ref="D195">IFERROR(INDEX('Регистър на риска'!$I:$I,MATCH(A195,'Регистър на риска'!$A:$A,0)),"")</f>
        <v/>
      </c>
      <c r="E195" s="9"/>
      <c r="F195" s="9"/>
      <c r="G195" s="9"/>
      <c r="H195" s="9"/>
      <c r="I195" s="9"/>
      <c r="J195" s="9"/>
      <c r="K195" s="9"/>
      <c r="L195" s="9"/>
      <c r="M195" s="9"/>
      <c r="N195" s="20" t="str">
        <f t="shared" si="1"/>
        <v/>
      </c>
      <c r="O195" s="9"/>
    </row>
    <row r="196" ht="15.75" customHeight="1">
      <c r="A196" s="9"/>
      <c r="B196" s="9"/>
      <c r="C196" s="9"/>
      <c r="D196" s="20" t="str">
        <f t="array" ref="D196">IFERROR(INDEX('Регистър на риска'!$I:$I,MATCH(A196,'Регистър на риска'!$A:$A,0)),"")</f>
        <v/>
      </c>
      <c r="E196" s="9"/>
      <c r="F196" s="9"/>
      <c r="G196" s="9"/>
      <c r="H196" s="9"/>
      <c r="I196" s="9"/>
      <c r="J196" s="9"/>
      <c r="K196" s="9"/>
      <c r="L196" s="9"/>
      <c r="M196" s="9"/>
      <c r="N196" s="20" t="str">
        <f t="shared" si="1"/>
        <v/>
      </c>
      <c r="O196" s="9"/>
    </row>
    <row r="197" ht="15.75" customHeight="1">
      <c r="A197" s="9"/>
      <c r="B197" s="9"/>
      <c r="C197" s="9"/>
      <c r="D197" s="20" t="str">
        <f t="array" ref="D197">IFERROR(INDEX('Регистър на риска'!$I:$I,MATCH(A197,'Регистър на риска'!$A:$A,0)),"")</f>
        <v/>
      </c>
      <c r="E197" s="9"/>
      <c r="F197" s="9"/>
      <c r="G197" s="9"/>
      <c r="H197" s="9"/>
      <c r="I197" s="9"/>
      <c r="J197" s="9"/>
      <c r="K197" s="9"/>
      <c r="L197" s="9"/>
      <c r="M197" s="9"/>
      <c r="N197" s="20" t="str">
        <f t="shared" si="1"/>
        <v/>
      </c>
      <c r="O197" s="9"/>
    </row>
    <row r="198" ht="15.75" customHeight="1">
      <c r="A198" s="9"/>
      <c r="B198" s="9"/>
      <c r="C198" s="9"/>
      <c r="D198" s="20" t="str">
        <f t="array" ref="D198">IFERROR(INDEX('Регистър на риска'!$I:$I,MATCH(A198,'Регистър на риска'!$A:$A,0)),"")</f>
        <v/>
      </c>
      <c r="E198" s="9"/>
      <c r="F198" s="9"/>
      <c r="G198" s="9"/>
      <c r="H198" s="9"/>
      <c r="I198" s="9"/>
      <c r="J198" s="9"/>
      <c r="K198" s="9"/>
      <c r="L198" s="9"/>
      <c r="M198" s="9"/>
      <c r="N198" s="20" t="str">
        <f t="shared" si="1"/>
        <v/>
      </c>
      <c r="O198" s="9"/>
    </row>
    <row r="199" ht="15.75" customHeight="1">
      <c r="A199" s="9"/>
      <c r="B199" s="9"/>
      <c r="C199" s="9"/>
      <c r="D199" s="20" t="str">
        <f t="array" ref="D199">IFERROR(INDEX('Регистър на риска'!$I:$I,MATCH(A199,'Регистър на риска'!$A:$A,0)),"")</f>
        <v/>
      </c>
      <c r="E199" s="9"/>
      <c r="F199" s="9"/>
      <c r="G199" s="9"/>
      <c r="H199" s="9"/>
      <c r="I199" s="9"/>
      <c r="J199" s="9"/>
      <c r="K199" s="9"/>
      <c r="L199" s="9"/>
      <c r="M199" s="9"/>
      <c r="N199" s="20" t="str">
        <f t="shared" si="1"/>
        <v/>
      </c>
      <c r="O199" s="9"/>
    </row>
    <row r="200" ht="15.75" customHeight="1">
      <c r="A200" s="9"/>
      <c r="B200" s="9"/>
      <c r="C200" s="9"/>
      <c r="D200" s="20" t="str">
        <f t="array" ref="D200">IFERROR(INDEX('Регистър на риска'!$I:$I,MATCH(A200,'Регистър на риска'!$A:$A,0)),"")</f>
        <v/>
      </c>
      <c r="E200" s="9"/>
      <c r="F200" s="9"/>
      <c r="G200" s="9"/>
      <c r="H200" s="9"/>
      <c r="I200" s="9"/>
      <c r="J200" s="9"/>
      <c r="K200" s="9"/>
      <c r="L200" s="9"/>
      <c r="M200" s="9"/>
      <c r="N200" s="20" t="str">
        <f t="shared" si="1"/>
        <v/>
      </c>
      <c r="O200" s="9"/>
    </row>
    <row r="201" ht="15.75" customHeight="1">
      <c r="A201" s="9"/>
      <c r="B201" s="9"/>
      <c r="C201" s="9"/>
      <c r="D201" s="20" t="str">
        <f t="array" ref="D201">IFERROR(INDEX('Регистър на риска'!$I:$I,MATCH(A201,'Регистър на риска'!$A:$A,0)),"")</f>
        <v/>
      </c>
      <c r="E201" s="9"/>
      <c r="F201" s="9"/>
      <c r="G201" s="9"/>
      <c r="H201" s="9"/>
      <c r="I201" s="9"/>
      <c r="J201" s="9"/>
      <c r="K201" s="9"/>
      <c r="L201" s="9"/>
      <c r="M201" s="9"/>
      <c r="N201" s="20" t="str">
        <f t="shared" si="1"/>
        <v/>
      </c>
      <c r="O201" s="9"/>
    </row>
    <row r="202" ht="15.75" customHeight="1">
      <c r="A202" s="9"/>
      <c r="B202" s="9"/>
      <c r="C202" s="9"/>
      <c r="D202" s="20" t="str">
        <f t="array" ref="D202">IFERROR(INDEX('Регистър на риска'!$I:$I,MATCH(A202,'Регистър на риска'!$A:$A,0)),"")</f>
        <v/>
      </c>
      <c r="E202" s="9"/>
      <c r="F202" s="9"/>
      <c r="G202" s="9"/>
      <c r="H202" s="9"/>
      <c r="I202" s="9"/>
      <c r="J202" s="9"/>
      <c r="K202" s="9"/>
      <c r="L202" s="9"/>
      <c r="M202" s="9"/>
      <c r="N202" s="20" t="str">
        <f t="shared" si="1"/>
        <v/>
      </c>
      <c r="O202" s="9"/>
    </row>
    <row r="203" ht="15.75" customHeight="1">
      <c r="A203" s="9"/>
      <c r="B203" s="9"/>
      <c r="C203" s="9"/>
      <c r="D203" s="20" t="str">
        <f t="array" ref="D203">IFERROR(INDEX('Регистър на риска'!$I:$I,MATCH(A203,'Регистър на риска'!$A:$A,0)),"")</f>
        <v/>
      </c>
      <c r="E203" s="9"/>
      <c r="F203" s="9"/>
      <c r="G203" s="9"/>
      <c r="H203" s="9"/>
      <c r="I203" s="9"/>
      <c r="J203" s="9"/>
      <c r="K203" s="9"/>
      <c r="L203" s="9"/>
      <c r="M203" s="9"/>
      <c r="N203" s="20" t="str">
        <f t="shared" si="1"/>
        <v/>
      </c>
      <c r="O203" s="9"/>
    </row>
    <row r="204" ht="15.75" customHeight="1">
      <c r="D204" s="21" t="str">
        <f t="array" ref="D204">IFERROR(INDEX('Регистър на риска'!$I:$I,MATCH(A204,'Регистър на риска'!$A:$A,0)),"")</f>
        <v/>
      </c>
      <c r="E204" s="21"/>
      <c r="K204" s="21"/>
      <c r="L204" s="21"/>
      <c r="M204" s="21"/>
      <c r="N204" s="21" t="str">
        <f t="shared" si="1"/>
        <v/>
      </c>
    </row>
    <row r="205" ht="15.75" customHeight="1">
      <c r="D205" s="21" t="str">
        <f t="array" ref="D205">IFERROR(INDEX('Регистър на риска'!$I:$I,MATCH(A205,'Регистър на риска'!$A:$A,0)),"")</f>
        <v/>
      </c>
      <c r="E205" s="21"/>
      <c r="K205" s="21"/>
      <c r="L205" s="21"/>
      <c r="M205" s="21"/>
      <c r="N205" s="21" t="str">
        <f t="shared" si="1"/>
        <v/>
      </c>
    </row>
    <row r="206" ht="15.75" customHeight="1">
      <c r="D206" s="21" t="str">
        <f t="array" ref="D206">IFERROR(INDEX('Регистър на риска'!$I:$I,MATCH(A206,'Регистър на риска'!$A:$A,0)),"")</f>
        <v/>
      </c>
      <c r="E206" s="21"/>
      <c r="K206" s="21"/>
      <c r="L206" s="21"/>
      <c r="M206" s="21"/>
      <c r="N206" s="21" t="str">
        <f t="shared" si="1"/>
        <v/>
      </c>
    </row>
    <row r="207" ht="15.75" customHeight="1">
      <c r="D207" s="21" t="str">
        <f t="array" ref="D207">IFERROR(INDEX('Регистър на риска'!$I:$I,MATCH(A207,'Регистър на риска'!$A:$A,0)),"")</f>
        <v/>
      </c>
      <c r="E207" s="21"/>
      <c r="K207" s="21"/>
      <c r="L207" s="21"/>
      <c r="M207" s="21"/>
      <c r="N207" s="21" t="str">
        <f t="shared" si="1"/>
        <v/>
      </c>
    </row>
    <row r="208" ht="15.75" customHeight="1">
      <c r="D208" s="21" t="str">
        <f t="array" ref="D208">IFERROR(INDEX('Регистър на риска'!$I:$I,MATCH(A208,'Регистър на риска'!$A:$A,0)),"")</f>
        <v/>
      </c>
      <c r="E208" s="21"/>
      <c r="K208" s="21"/>
      <c r="L208" s="21"/>
      <c r="M208" s="21"/>
      <c r="N208" s="21" t="str">
        <f t="shared" si="1"/>
        <v/>
      </c>
    </row>
    <row r="209" ht="15.75" customHeight="1">
      <c r="D209" s="21" t="str">
        <f t="array" ref="D209">IFERROR(INDEX('Регистър на риска'!$I:$I,MATCH(A209,'Регистър на риска'!$A:$A,0)),"")</f>
        <v/>
      </c>
      <c r="E209" s="21"/>
      <c r="K209" s="21"/>
      <c r="L209" s="21"/>
      <c r="M209" s="21"/>
      <c r="N209" s="21" t="str">
        <f t="shared" si="1"/>
        <v/>
      </c>
    </row>
    <row r="210" ht="15.75" customHeight="1">
      <c r="D210" s="21" t="str">
        <f t="array" ref="D210">IFERROR(INDEX('Регистър на риска'!$I:$I,MATCH(A210,'Регистър на риска'!$A:$A,0)),"")</f>
        <v/>
      </c>
      <c r="E210" s="21"/>
      <c r="K210" s="21"/>
      <c r="L210" s="21"/>
      <c r="M210" s="21"/>
      <c r="N210" s="21" t="str">
        <f t="shared" si="1"/>
        <v/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210">
    <cfRule type="cellIs" dxfId="0" priority="1" operator="between">
      <formula>1</formula>
      <formula>4</formula>
    </cfRule>
  </conditionalFormatting>
  <conditionalFormatting sqref="D2:D210">
    <cfRule type="cellIs" dxfId="1" priority="2" operator="between">
      <formula>5</formula>
      <formula>9</formula>
    </cfRule>
  </conditionalFormatting>
  <conditionalFormatting sqref="D2:D210">
    <cfRule type="cellIs" dxfId="2" priority="3" operator="between">
      <formula>10</formula>
      <formula>15</formula>
    </cfRule>
  </conditionalFormatting>
  <conditionalFormatting sqref="D2:D210">
    <cfRule type="cellIs" dxfId="3" priority="4" operator="between">
      <formula>16</formula>
      <formula>25</formula>
    </cfRule>
  </conditionalFormatting>
  <conditionalFormatting sqref="N2:N210">
    <cfRule type="cellIs" dxfId="0" priority="5" operator="between">
      <formula>1</formula>
      <formula>4</formula>
    </cfRule>
  </conditionalFormatting>
  <conditionalFormatting sqref="N2:N210">
    <cfRule type="cellIs" dxfId="1" priority="6" operator="between">
      <formula>5</formula>
      <formula>9</formula>
    </cfRule>
  </conditionalFormatting>
  <conditionalFormatting sqref="N2:N210">
    <cfRule type="cellIs" dxfId="2" priority="7" operator="between">
      <formula>10</formula>
      <formula>15</formula>
    </cfRule>
  </conditionalFormatting>
  <conditionalFormatting sqref="N2:N210">
    <cfRule type="cellIs" dxfId="3" priority="8" operator="between">
      <formula>16</formula>
      <formula>25</formula>
    </cfRule>
  </conditionalFormatting>
  <dataValidations>
    <dataValidation type="list" allowBlank="1" sqref="L2:M210">
      <formula1>"1,2,3,4,5"</formula1>
    </dataValidation>
    <dataValidation type="list" allowBlank="1" sqref="K2:K210">
      <formula1>"планиран,в процес,внедрен,приет"</formula1>
    </dataValidation>
    <dataValidation type="list" allowBlank="1" sqref="E2:E210">
      <formula1>"намаляване,прехвърляне,избягване,приемане"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2026-10-07T22:19:43Z</dcterms:created>
  <dc:creator>openpyxl</dc:creator>
</cp:coreProperties>
</file>